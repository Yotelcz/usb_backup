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980" yWindow="105" windowWidth="13515" windowHeight="8985" tabRatio="846" firstSheet="2" activeTab="2"/>
  </bookViews>
  <sheets>
    <sheet name="RCP_Cu" sheetId="1" r:id="rId1"/>
    <sheet name="SC_Cu" sheetId="2" state="hidden" r:id="rId2"/>
    <sheet name="SC_Cu (2)" sheetId="6" r:id="rId3"/>
    <sheet name="BC_Cu" sheetId="3" r:id="rId4"/>
    <sheet name="RW_Es" sheetId="4" r:id="rId5"/>
    <sheet name="Sheet5" sheetId="5" r:id="rId6"/>
    <sheet name="Sheet1" sheetId="7" r:id="rId7"/>
  </sheets>
  <externalReferences>
    <externalReference r:id="rId8"/>
    <externalReference r:id="rId9"/>
  </externalReferences>
  <definedNames>
    <definedName name="_xlnm._FilterDatabase" localSheetId="3" hidden="1">BC_Cu!$G$49:$I$94</definedName>
  </definedNames>
  <calcPr calcId="145621"/>
</workbook>
</file>

<file path=xl/calcChain.xml><?xml version="1.0" encoding="utf-8"?>
<calcChain xmlns="http://schemas.openxmlformats.org/spreadsheetml/2006/main">
  <c r="B8" i="6" l="1"/>
  <c r="B9" i="6"/>
  <c r="B6" i="6"/>
  <c r="B4" i="6"/>
  <c r="B5" i="6"/>
  <c r="B7" i="6"/>
  <c r="B10" i="6"/>
  <c r="B11" i="6"/>
  <c r="B12" i="6"/>
  <c r="B26" i="6" l="1"/>
  <c r="C26" i="6"/>
  <c r="D26" i="6"/>
  <c r="D18" i="6"/>
  <c r="D19" i="6"/>
  <c r="D20" i="6"/>
  <c r="D21" i="6"/>
  <c r="D22" i="6"/>
  <c r="D23" i="6"/>
  <c r="D24" i="6"/>
  <c r="D25" i="6"/>
  <c r="C19" i="6"/>
  <c r="C20" i="6"/>
  <c r="C21" i="6"/>
  <c r="C22" i="6"/>
  <c r="C23" i="6"/>
  <c r="C24" i="6"/>
  <c r="C25" i="6"/>
  <c r="C18" i="6"/>
  <c r="B18" i="6"/>
  <c r="B19" i="6"/>
  <c r="B20" i="6"/>
  <c r="B21" i="6"/>
  <c r="B22" i="6"/>
  <c r="B23" i="6"/>
  <c r="B24" i="6"/>
  <c r="B25" i="6"/>
  <c r="I16" i="6" l="1"/>
  <c r="I15" i="6"/>
  <c r="I14" i="6"/>
  <c r="I13" i="6"/>
  <c r="F13" i="6"/>
  <c r="I12" i="6"/>
  <c r="F12" i="6"/>
  <c r="I11" i="6"/>
  <c r="F11" i="6"/>
  <c r="I10" i="6"/>
  <c r="F10" i="6"/>
  <c r="I9" i="6"/>
  <c r="F9" i="6"/>
  <c r="I8" i="6"/>
  <c r="F8" i="6"/>
  <c r="I7" i="6"/>
  <c r="F7" i="6"/>
  <c r="I6" i="6"/>
  <c r="F6" i="6"/>
  <c r="F5" i="6"/>
  <c r="F4" i="6"/>
  <c r="J3" i="6"/>
  <c r="B3" i="6"/>
  <c r="B1" i="6"/>
  <c r="B3" i="2"/>
  <c r="AD18" i="2"/>
  <c r="AC18" i="2"/>
  <c r="AB18" i="2"/>
  <c r="I90" i="3"/>
  <c r="I85" i="3"/>
  <c r="I80" i="3"/>
  <c r="I75" i="3"/>
  <c r="I70" i="3"/>
  <c r="I65" i="3"/>
  <c r="I60" i="3"/>
  <c r="I55" i="3"/>
  <c r="I50" i="3"/>
  <c r="B1" i="2" l="1"/>
  <c r="S18" i="2"/>
  <c r="B5" i="2" l="1"/>
  <c r="B11" i="2"/>
  <c r="R4" i="2"/>
  <c r="B4" i="2" s="1"/>
  <c r="R6" i="2"/>
  <c r="B6" i="2" s="1"/>
  <c r="R7" i="2"/>
  <c r="B7" i="2" s="1"/>
  <c r="R8" i="2"/>
  <c r="B8" i="2" s="1"/>
  <c r="R9" i="2"/>
  <c r="B9" i="2" s="1"/>
  <c r="R10" i="2"/>
  <c r="B10" i="2" s="1"/>
  <c r="I8" i="2" l="1"/>
  <c r="I11" i="2"/>
  <c r="I15" i="2"/>
  <c r="I14" i="2"/>
  <c r="I13" i="2"/>
  <c r="I12" i="2"/>
  <c r="I10" i="2"/>
  <c r="I9" i="2"/>
  <c r="I6" i="2"/>
  <c r="I16" i="2"/>
  <c r="I7" i="2"/>
  <c r="B13" i="5"/>
  <c r="B12" i="5"/>
  <c r="B11" i="5"/>
  <c r="B10" i="5"/>
  <c r="B9" i="5"/>
  <c r="B8" i="5"/>
  <c r="B7" i="5"/>
  <c r="B6" i="5"/>
  <c r="B5" i="5"/>
  <c r="B4" i="5"/>
  <c r="J3" i="5"/>
  <c r="F13" i="2"/>
  <c r="F12" i="2"/>
  <c r="F11" i="2"/>
  <c r="F10" i="2"/>
  <c r="F9" i="2"/>
  <c r="F8" i="2"/>
  <c r="F7" i="2"/>
  <c r="F5" i="2"/>
  <c r="F4" i="2"/>
  <c r="J3" i="2" l="1"/>
  <c r="B12" i="3" l="1"/>
  <c r="B13" i="3"/>
  <c r="B5" i="3"/>
  <c r="B6" i="1"/>
  <c r="B11" i="3"/>
  <c r="B9" i="3"/>
  <c r="B8" i="3"/>
  <c r="B7" i="3"/>
  <c r="B6" i="3"/>
  <c r="B4" i="3"/>
  <c r="B10" i="1"/>
  <c r="B11" i="1"/>
  <c r="B12" i="1"/>
  <c r="B13" i="1"/>
  <c r="B15" i="1"/>
  <c r="B14" i="1"/>
  <c r="B5" i="1"/>
  <c r="B9" i="1"/>
  <c r="B7" i="1"/>
  <c r="B4" i="1"/>
  <c r="F6" i="2"/>
  <c r="B10" i="3" l="1"/>
  <c r="B8" i="1"/>
</calcChain>
</file>

<file path=xl/comments1.xml><?xml version="1.0" encoding="utf-8"?>
<comments xmlns="http://schemas.openxmlformats.org/spreadsheetml/2006/main">
  <authors>
    <author>User</author>
  </authors>
  <commentList>
    <comment ref="H7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&gt;&gt; the design grid is enough</t>
        </r>
      </text>
    </comment>
  </commentList>
</comments>
</file>

<file path=xl/sharedStrings.xml><?xml version="1.0" encoding="utf-8"?>
<sst xmlns="http://schemas.openxmlformats.org/spreadsheetml/2006/main" count="842" uniqueCount="202">
  <si>
    <t>plan</t>
  </si>
  <si>
    <t>*** get data from DrawMinor</t>
  </si>
  <si>
    <t xml:space="preserve">make it to draw.. By adjusting certain conditions </t>
  </si>
  <si>
    <t xml:space="preserve">              For RCP noting is to be changed except adding coordinates on XS</t>
  </si>
  <si>
    <t xml:space="preserve">         ** full fill shp_dwg criterias </t>
  </si>
  <si>
    <t>*** with the drawn XS.dwg</t>
  </si>
  <si>
    <t>*** Refer many Shop drawing files… how they are prepared… what needs to be included</t>
  </si>
  <si>
    <t>**</t>
  </si>
  <si>
    <r>
      <t xml:space="preserve">Slab __ Culverts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 </t>
    </r>
  </si>
  <si>
    <t>Char_word</t>
  </si>
  <si>
    <t>to_be_filled</t>
  </si>
  <si>
    <t xml:space="preserve">           Slab culvert profile</t>
  </si>
  <si>
    <r>
      <t xml:space="preserve">Pipe __ Culverts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 </t>
    </r>
  </si>
  <si>
    <t xml:space="preserve">           Pipe culvert profile</t>
  </si>
  <si>
    <r>
      <t xml:space="preserve">Box __ Culverts                                                        </t>
    </r>
    <r>
      <rPr>
        <b/>
        <sz val="11"/>
        <color rgb="FFFF0000"/>
        <rFont val="Calibri"/>
        <family val="2"/>
        <scheme val="minor"/>
      </rPr>
      <t xml:space="preserve">  </t>
    </r>
  </si>
  <si>
    <t>Data from Design review</t>
  </si>
  <si>
    <t>Station</t>
  </si>
  <si>
    <t>No_cell</t>
  </si>
  <si>
    <t>Cler_Height</t>
  </si>
  <si>
    <t>Skew_angle</t>
  </si>
  <si>
    <t>Slab_length</t>
  </si>
  <si>
    <t>slope</t>
  </si>
  <si>
    <t>dsn_elv</t>
  </si>
  <si>
    <t>Invrt_elv</t>
  </si>
  <si>
    <t>-45</t>
  </si>
  <si>
    <t>-25</t>
  </si>
  <si>
    <t>Fill_Height</t>
  </si>
  <si>
    <t xml:space="preserve"> Grade</t>
  </si>
  <si>
    <t>Grade</t>
  </si>
  <si>
    <t>Fill</t>
  </si>
  <si>
    <t>Direct</t>
  </si>
  <si>
    <t>R</t>
  </si>
  <si>
    <t>L</t>
  </si>
  <si>
    <t>____________pipedata</t>
  </si>
  <si>
    <t>-12</t>
  </si>
  <si>
    <t>Span/dia</t>
  </si>
  <si>
    <t>Type A Inlet</t>
  </si>
  <si>
    <t xml:space="preserve">Type C </t>
  </si>
  <si>
    <t>station_103+820….</t>
  </si>
  <si>
    <t>inlet_elv</t>
  </si>
  <si>
    <t>outlett_elv</t>
  </si>
  <si>
    <t>&gt;&gt;&gt;</t>
  </si>
  <si>
    <t>Excavation_Layout</t>
  </si>
  <si>
    <t>Bottom Masonary Layout</t>
  </si>
  <si>
    <t>Pad Layout</t>
  </si>
  <si>
    <t>Top Masonary Layout</t>
  </si>
  <si>
    <t>Plan_dwg</t>
  </si>
  <si>
    <t>Cross-Section</t>
  </si>
  <si>
    <t>annotate Elevation</t>
  </si>
  <si>
    <t>Reference</t>
  </si>
  <si>
    <t>&gt;&gt;&gt; Wardar_shop_dwg</t>
  </si>
  <si>
    <t>annotate Rebar</t>
  </si>
  <si>
    <t>annotate Dimension</t>
  </si>
  <si>
    <t>DWG</t>
  </si>
  <si>
    <t>Plan View</t>
  </si>
  <si>
    <t xml:space="preserve">         &gt;&gt;&gt;&gt;&gt;&gt;&gt;&gt;&gt;&gt;&gt;&gt;&gt;&gt;&gt;</t>
  </si>
  <si>
    <t>Pad Bar Detail</t>
  </si>
  <si>
    <t>Bottom Slab Bar Detail</t>
  </si>
  <si>
    <t>Quantity__Calculation</t>
  </si>
  <si>
    <t xml:space="preserve">          </t>
  </si>
  <si>
    <r>
      <t xml:space="preserve">          Slab __ Culverts                     </t>
    </r>
    <r>
      <rPr>
        <b/>
        <sz val="11"/>
        <color rgb="FFFF0000"/>
        <rFont val="Calibri"/>
        <family val="2"/>
        <scheme val="minor"/>
      </rPr>
      <t xml:space="preserve">Slab __ Culverts </t>
    </r>
    <r>
      <rPr>
        <b/>
        <sz val="11"/>
        <color theme="1"/>
        <rFont val="Calibri"/>
        <family val="2"/>
        <scheme val="minor"/>
      </rPr>
      <t xml:space="preserve">           Slab __ Culverts                 </t>
    </r>
    <r>
      <rPr>
        <b/>
        <sz val="11"/>
        <color theme="4" tint="-0.249977111117893"/>
        <rFont val="Calibri"/>
        <family val="2"/>
        <scheme val="minor"/>
      </rPr>
      <t>Slab __ Culverts</t>
    </r>
    <r>
      <rPr>
        <b/>
        <sz val="11"/>
        <color theme="1"/>
        <rFont val="Calibri"/>
        <family val="2"/>
        <scheme val="minor"/>
      </rPr>
      <t xml:space="preserve">             Slab __ Culverts                    Slab __ Culverts             Slab __ Culverts </t>
    </r>
  </si>
  <si>
    <t>Chainage---------------</t>
  </si>
  <si>
    <t>Masony RW</t>
  </si>
  <si>
    <t>Side------------------</t>
  </si>
  <si>
    <t>Structure Type-----------</t>
  </si>
  <si>
    <t>Offset Distance----------</t>
  </si>
  <si>
    <t>LHS</t>
  </si>
  <si>
    <t>m2</t>
  </si>
  <si>
    <t>FILL</t>
  </si>
  <si>
    <t>stations</t>
  </si>
  <si>
    <t>direction</t>
  </si>
  <si>
    <t>0+100.00</t>
  </si>
  <si>
    <t>0+105.00</t>
  </si>
  <si>
    <t>0+110.00</t>
  </si>
  <si>
    <t>0+115.00</t>
  </si>
  <si>
    <t>0+120.00</t>
  </si>
  <si>
    <t>0+125.00</t>
  </si>
  <si>
    <t>0+130.00</t>
  </si>
  <si>
    <t>0+135.00</t>
  </si>
  <si>
    <t>0+140.00</t>
  </si>
  <si>
    <t>dist</t>
  </si>
  <si>
    <t>off_dist</t>
  </si>
  <si>
    <t>Masonry Area------------</t>
  </si>
  <si>
    <t>Concrete Area------------</t>
  </si>
  <si>
    <t>Structural Excavation Area----</t>
  </si>
  <si>
    <t>Structural Backfill Area------</t>
  </si>
  <si>
    <t>YDTZZTLJ</t>
  </si>
  <si>
    <t>Masonary</t>
  </si>
  <si>
    <t>Area</t>
  </si>
  <si>
    <t>Excav</t>
  </si>
  <si>
    <t>Backfill</t>
  </si>
  <si>
    <t>Conc</t>
  </si>
  <si>
    <t>BACKFILL</t>
  </si>
  <si>
    <t>Ctr + SHIFT + a</t>
  </si>
  <si>
    <t>mas</t>
  </si>
  <si>
    <t>excav</t>
  </si>
  <si>
    <t>back_fill</t>
  </si>
  <si>
    <t xml:space="preserve">STA </t>
  </si>
  <si>
    <t>84+000</t>
  </si>
  <si>
    <t>84+020</t>
  </si>
  <si>
    <t>84+040</t>
  </si>
  <si>
    <t>84+060</t>
  </si>
  <si>
    <t>84+080</t>
  </si>
  <si>
    <t>84+100</t>
  </si>
  <si>
    <t>84+120</t>
  </si>
  <si>
    <t>84+140</t>
  </si>
  <si>
    <t>84+160</t>
  </si>
  <si>
    <t>84+180</t>
  </si>
  <si>
    <t>84+200</t>
  </si>
  <si>
    <t>84+220</t>
  </si>
  <si>
    <t>84+240</t>
  </si>
  <si>
    <t>84+260</t>
  </si>
  <si>
    <t>84+280</t>
  </si>
  <si>
    <t>84+300</t>
  </si>
  <si>
    <t>###############</t>
  </si>
  <si>
    <t>!!adjust the Macro.. Bacfill and excav are the same</t>
  </si>
  <si>
    <t>Type</t>
  </si>
  <si>
    <t>size</t>
  </si>
  <si>
    <t>flow</t>
  </si>
  <si>
    <t>Len</t>
  </si>
  <si>
    <t>RHS</t>
  </si>
  <si>
    <t>skew</t>
  </si>
  <si>
    <t>STA</t>
  </si>
  <si>
    <t xml:space="preserve">Chainage--------------- </t>
  </si>
  <si>
    <t xml:space="preserve">Structure Type----------- </t>
  </si>
  <si>
    <t xml:space="preserve">Culvert Size------------------ </t>
  </si>
  <si>
    <t xml:space="preserve">Invert Level---------------- </t>
  </si>
  <si>
    <t xml:space="preserve">Flow Direction-------------------- </t>
  </si>
  <si>
    <t xml:space="preserve">Invert Slope----------------------- </t>
  </si>
  <si>
    <t xml:space="preserve">Culvert Length------------------ </t>
  </si>
  <si>
    <t xml:space="preserve">LHS End Structure------------------- </t>
  </si>
  <si>
    <t xml:space="preserve">RHS End Structure------------------ </t>
  </si>
  <si>
    <t xml:space="preserve">Skew Ang-------------------- </t>
  </si>
  <si>
    <t>invet_Elv</t>
  </si>
  <si>
    <t>invet_elv</t>
  </si>
  <si>
    <t>2 ∅1.22 mm</t>
  </si>
  <si>
    <t>1 ∅1.22 mm</t>
  </si>
  <si>
    <t>1 ( 3x4 ) m</t>
  </si>
  <si>
    <t>1 ( 1x1.3 ) m</t>
  </si>
  <si>
    <t>1 ( 6x4 ) m</t>
  </si>
  <si>
    <t>1 ( x ) m</t>
  </si>
  <si>
    <t>1 ( 4x6 ) m</t>
  </si>
  <si>
    <t>1 ( 6x3.5 ) m</t>
  </si>
  <si>
    <t>1 ( 1x1 ) m</t>
  </si>
  <si>
    <t xml:space="preserve">R </t>
  </si>
  <si>
    <t xml:space="preserve">L </t>
  </si>
  <si>
    <t>Type C</t>
  </si>
  <si>
    <t>MRW</t>
  </si>
  <si>
    <t>Type C+Chd</t>
  </si>
  <si>
    <t>Chd</t>
  </si>
  <si>
    <t>MRW +Chd</t>
  </si>
  <si>
    <t>Type A inlet</t>
  </si>
  <si>
    <t>Type A inlet + Chd</t>
  </si>
  <si>
    <t>Drop_Inlet</t>
  </si>
  <si>
    <t>MS_RW</t>
  </si>
  <si>
    <t>RCP</t>
  </si>
  <si>
    <t>SC</t>
  </si>
  <si>
    <t>0+459.46</t>
  </si>
  <si>
    <t>0+668.10</t>
  </si>
  <si>
    <t>0+689.20</t>
  </si>
  <si>
    <t>0+835.08</t>
  </si>
  <si>
    <t>1+303.65</t>
  </si>
  <si>
    <t>1+537.10</t>
  </si>
  <si>
    <t>1+604.52</t>
  </si>
  <si>
    <t>1+982.47</t>
  </si>
  <si>
    <t>2+093.58</t>
  </si>
  <si>
    <t>2+556.56</t>
  </si>
  <si>
    <t>2+657.90</t>
  </si>
  <si>
    <t>3+878.89</t>
  </si>
  <si>
    <t>4+068.50</t>
  </si>
  <si>
    <t>4+417.03</t>
  </si>
  <si>
    <t>4+598.14</t>
  </si>
  <si>
    <t>4+681.63</t>
  </si>
  <si>
    <t>4+804.50</t>
  </si>
  <si>
    <t>4+939.79</t>
  </si>
  <si>
    <t>4+969.92</t>
  </si>
  <si>
    <t>5+107.02</t>
  </si>
  <si>
    <t>5+152.16</t>
  </si>
  <si>
    <t>5+359.19</t>
  </si>
  <si>
    <t>5+409.20</t>
  </si>
  <si>
    <t>5+563.14</t>
  </si>
  <si>
    <t>6+011.49</t>
  </si>
  <si>
    <t>6+735.53</t>
  </si>
  <si>
    <t>7+165.81</t>
  </si>
  <si>
    <t>7+321.67</t>
  </si>
  <si>
    <t>7+481.16</t>
  </si>
  <si>
    <t>7+740.55</t>
  </si>
  <si>
    <t>7+784.17</t>
  </si>
  <si>
    <t>7+969.76</t>
  </si>
  <si>
    <t>8+140.03</t>
  </si>
  <si>
    <t>8+222.86</t>
  </si>
  <si>
    <t>8+579.20</t>
  </si>
  <si>
    <t>8+773.48</t>
  </si>
  <si>
    <t>9+121.64</t>
  </si>
  <si>
    <t>9+220.49</t>
  </si>
  <si>
    <t>9+551.41</t>
  </si>
  <si>
    <t>9+654.69</t>
  </si>
  <si>
    <t>9+885.65</t>
  </si>
  <si>
    <t>10+623.51</t>
  </si>
  <si>
    <t>11+486.55</t>
  </si>
  <si>
    <t>11+636.81</t>
  </si>
  <si>
    <t>11+903.02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</si>
</sst>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\+000"/>
    <numFmt numFmtId="165" formatCode="0.0000"/>
    <numFmt numFmtId="166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sz val="10"/>
      <color rgb="FFFF0000"/>
      <name val="Arial"/>
      <family val="2"/>
    </font>
    <font>
      <i/>
      <sz val="10"/>
      <color rgb="FFFF0000"/>
      <name val="Arial"/>
      <family val="2"/>
    </font>
    <font>
      <b/>
      <sz val="11"/>
      <color rgb="FFC0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rgb="FFFF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135">
    <xf numFmtId="0" fontId="0" fillId="0" borderId="0" xfId="0"/>
    <xf numFmtId="0" fontId="3" fillId="2" borderId="1" xfId="0" applyFont="1" applyFill="1" applyBorder="1" applyAlignment="1"/>
    <xf numFmtId="0" fontId="0" fillId="2" borderId="2" xfId="0" applyFill="1" applyBorder="1" applyAlignment="1"/>
    <xf numFmtId="0" fontId="2" fillId="2" borderId="3" xfId="0" applyFont="1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3" fillId="3" borderId="0" xfId="0" applyFont="1" applyFill="1" applyBorder="1"/>
    <xf numFmtId="0" fontId="4" fillId="3" borderId="0" xfId="0" applyFont="1" applyFill="1" applyBorder="1"/>
    <xf numFmtId="0" fontId="0" fillId="3" borderId="0" xfId="0" applyFill="1" applyBorder="1"/>
    <xf numFmtId="0" fontId="5" fillId="0" borderId="0" xfId="0" applyFont="1"/>
    <xf numFmtId="0" fontId="0" fillId="3" borderId="0" xfId="0" applyFill="1" applyBorder="1" applyAlignment="1">
      <alignment horizontal="left"/>
    </xf>
    <xf numFmtId="0" fontId="0" fillId="3" borderId="0" xfId="0" applyFill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3" xfId="0" applyBorder="1"/>
    <xf numFmtId="0" fontId="5" fillId="0" borderId="3" xfId="0" applyFont="1" applyFill="1" applyBorder="1" applyAlignment="1">
      <alignment horizontal="left"/>
    </xf>
    <xf numFmtId="2" fontId="0" fillId="0" borderId="3" xfId="0" applyNumberFormat="1" applyBorder="1"/>
    <xf numFmtId="0" fontId="0" fillId="3" borderId="0" xfId="0" applyFill="1" applyBorder="1" applyAlignment="1">
      <alignment vertical="center"/>
    </xf>
    <xf numFmtId="0" fontId="3" fillId="2" borderId="8" xfId="0" applyFont="1" applyFill="1" applyBorder="1" applyAlignment="1"/>
    <xf numFmtId="0" fontId="0" fillId="2" borderId="9" xfId="0" applyFill="1" applyBorder="1" applyAlignment="1"/>
    <xf numFmtId="0" fontId="0" fillId="3" borderId="0" xfId="0" applyFill="1" applyBorder="1" applyAlignment="1"/>
    <xf numFmtId="0" fontId="3" fillId="3" borderId="0" xfId="0" applyFont="1" applyFill="1" applyBorder="1" applyAlignment="1"/>
    <xf numFmtId="0" fontId="3" fillId="3" borderId="10" xfId="0" applyFont="1" applyFill="1" applyBorder="1"/>
    <xf numFmtId="0" fontId="3" fillId="3" borderId="7" xfId="0" applyFont="1" applyFill="1" applyBorder="1"/>
    <xf numFmtId="0" fontId="0" fillId="3" borderId="0" xfId="0" applyFill="1"/>
    <xf numFmtId="0" fontId="7" fillId="2" borderId="2" xfId="0" applyFont="1" applyFill="1" applyBorder="1" applyAlignment="1"/>
    <xf numFmtId="10" fontId="3" fillId="3" borderId="0" xfId="1" applyNumberFormat="1" applyFont="1" applyFill="1" applyBorder="1"/>
    <xf numFmtId="0" fontId="3" fillId="3" borderId="5" xfId="0" applyFont="1" applyFill="1" applyBorder="1"/>
    <xf numFmtId="0" fontId="2" fillId="3" borderId="6" xfId="0" applyFont="1" applyFill="1" applyBorder="1"/>
    <xf numFmtId="0" fontId="0" fillId="3" borderId="6" xfId="0" applyFill="1" applyBorder="1"/>
    <xf numFmtId="0" fontId="3" fillId="3" borderId="6" xfId="0" applyFont="1" applyFill="1" applyBorder="1"/>
    <xf numFmtId="0" fontId="3" fillId="3" borderId="11" xfId="0" applyFont="1" applyFill="1" applyBorder="1"/>
    <xf numFmtId="0" fontId="9" fillId="3" borderId="0" xfId="0" applyFont="1" applyFill="1" applyBorder="1"/>
    <xf numFmtId="0" fontId="8" fillId="3" borderId="8" xfId="0" applyFont="1" applyFill="1" applyBorder="1"/>
    <xf numFmtId="0" fontId="0" fillId="3" borderId="12" xfId="0" applyFill="1" applyBorder="1" applyAlignment="1">
      <alignment horizontal="right"/>
    </xf>
    <xf numFmtId="0" fontId="0" fillId="3" borderId="12" xfId="0" applyFill="1" applyBorder="1"/>
    <xf numFmtId="0" fontId="0" fillId="3" borderId="12" xfId="0" applyFill="1" applyBorder="1" applyAlignment="1">
      <alignment horizontal="lef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164" fontId="11" fillId="0" borderId="3" xfId="0" applyNumberFormat="1" applyFont="1" applyFill="1" applyBorder="1"/>
    <xf numFmtId="164" fontId="12" fillId="5" borderId="3" xfId="0" applyNumberFormat="1" applyFont="1" applyFill="1" applyBorder="1"/>
    <xf numFmtId="0" fontId="11" fillId="0" borderId="3" xfId="0" applyFont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2" fillId="0" borderId="3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/>
    </xf>
    <xf numFmtId="164" fontId="15" fillId="0" borderId="3" xfId="0" applyNumberFormat="1" applyFont="1" applyFill="1" applyBorder="1"/>
    <xf numFmtId="0" fontId="15" fillId="0" borderId="3" xfId="0" applyFont="1" applyBorder="1" applyAlignment="1">
      <alignment horizontal="center"/>
    </xf>
    <xf numFmtId="0" fontId="15" fillId="0" borderId="3" xfId="0" applyFont="1" applyBorder="1" applyAlignment="1">
      <alignment horizontal="center" vertical="center"/>
    </xf>
    <xf numFmtId="43" fontId="11" fillId="0" borderId="3" xfId="0" quotePrefix="1" applyNumberFormat="1" applyFont="1" applyFill="1" applyBorder="1" applyAlignment="1">
      <alignment horizontal="center"/>
    </xf>
    <xf numFmtId="0" fontId="11" fillId="0" borderId="3" xfId="0" applyNumberFormat="1" applyFont="1" applyFill="1" applyBorder="1" applyAlignment="1">
      <alignment horizontal="center"/>
    </xf>
    <xf numFmtId="0" fontId="11" fillId="0" borderId="3" xfId="0" quotePrefix="1" applyNumberFormat="1" applyFont="1" applyFill="1" applyBorder="1" applyAlignment="1">
      <alignment horizontal="center"/>
    </xf>
    <xf numFmtId="0" fontId="12" fillId="0" borderId="3" xfId="0" applyNumberFormat="1" applyFont="1" applyFill="1" applyBorder="1" applyAlignment="1">
      <alignment horizontal="center"/>
    </xf>
    <xf numFmtId="0" fontId="13" fillId="4" borderId="3" xfId="0" applyNumberFormat="1" applyFont="1" applyFill="1" applyBorder="1" applyAlignment="1">
      <alignment horizontal="center"/>
    </xf>
    <xf numFmtId="0" fontId="14" fillId="4" borderId="3" xfId="0" applyNumberFormat="1" applyFont="1" applyFill="1" applyBorder="1" applyAlignment="1">
      <alignment horizontal="center"/>
    </xf>
    <xf numFmtId="0" fontId="11" fillId="0" borderId="3" xfId="0" applyFont="1" applyFill="1" applyBorder="1"/>
    <xf numFmtId="0" fontId="14" fillId="4" borderId="3" xfId="0" applyFont="1" applyFill="1" applyBorder="1"/>
    <xf numFmtId="0" fontId="12" fillId="0" borderId="3" xfId="0" applyFont="1" applyFill="1" applyBorder="1"/>
    <xf numFmtId="0" fontId="16" fillId="4" borderId="3" xfId="0" applyFont="1" applyFill="1" applyBorder="1"/>
    <xf numFmtId="0" fontId="15" fillId="0" borderId="3" xfId="0" applyFont="1" applyFill="1" applyBorder="1"/>
    <xf numFmtId="165" fontId="0" fillId="0" borderId="3" xfId="0" applyNumberFormat="1" applyBorder="1"/>
    <xf numFmtId="0" fontId="0" fillId="0" borderId="3" xfId="0" applyFill="1" applyBorder="1"/>
    <xf numFmtId="0" fontId="0" fillId="0" borderId="0" xfId="0" applyNumberFormat="1"/>
    <xf numFmtId="0" fontId="3" fillId="3" borderId="0" xfId="0" applyFont="1" applyFill="1" applyBorder="1" applyAlignment="1">
      <alignment horizontal="right"/>
    </xf>
    <xf numFmtId="0" fontId="17" fillId="3" borderId="0" xfId="0" applyFont="1" applyFill="1" applyBorder="1"/>
    <xf numFmtId="0" fontId="18" fillId="3" borderId="0" xfId="0" applyFont="1" applyFill="1" applyBorder="1"/>
    <xf numFmtId="0" fontId="0" fillId="3" borderId="0" xfId="0" applyFont="1" applyFill="1" applyBorder="1"/>
    <xf numFmtId="0" fontId="0" fillId="3" borderId="3" xfId="0" applyFont="1" applyFill="1" applyBorder="1"/>
    <xf numFmtId="0" fontId="0" fillId="3" borderId="1" xfId="0" applyFont="1" applyFill="1" applyBorder="1"/>
    <xf numFmtId="0" fontId="3" fillId="3" borderId="4" xfId="0" applyFont="1" applyFill="1" applyBorder="1"/>
    <xf numFmtId="10" fontId="1" fillId="3" borderId="1" xfId="1" applyNumberFormat="1" applyFont="1" applyFill="1" applyBorder="1"/>
    <xf numFmtId="0" fontId="2" fillId="2" borderId="12" xfId="0" applyFont="1" applyFill="1" applyBorder="1" applyAlignment="1"/>
    <xf numFmtId="0" fontId="0" fillId="0" borderId="3" xfId="0" applyBorder="1" applyAlignment="1">
      <alignment horizontal="center"/>
    </xf>
    <xf numFmtId="0" fontId="3" fillId="0" borderId="0" xfId="0" applyFont="1"/>
    <xf numFmtId="0" fontId="3" fillId="0" borderId="10" xfId="0" applyFont="1" applyBorder="1"/>
    <xf numFmtId="0" fontId="3" fillId="0" borderId="6" xfId="0" applyFont="1" applyBorder="1"/>
    <xf numFmtId="0" fontId="3" fillId="0" borderId="7" xfId="0" applyFont="1" applyBorder="1"/>
    <xf numFmtId="0" fontId="6" fillId="0" borderId="0" xfId="0" applyFont="1"/>
    <xf numFmtId="0" fontId="6" fillId="5" borderId="0" xfId="0" applyFont="1" applyFill="1"/>
    <xf numFmtId="0" fontId="3" fillId="5" borderId="0" xfId="0" applyFont="1" applyFill="1"/>
    <xf numFmtId="165" fontId="0" fillId="0" borderId="0" xfId="0" applyNumberFormat="1"/>
    <xf numFmtId="0" fontId="1" fillId="5" borderId="3" xfId="2" applyFill="1" applyBorder="1"/>
    <xf numFmtId="0" fontId="5" fillId="5" borderId="3" xfId="2" applyFont="1" applyFill="1" applyBorder="1" applyAlignment="1"/>
    <xf numFmtId="166" fontId="0" fillId="0" borderId="0" xfId="0" applyNumberFormat="1"/>
    <xf numFmtId="0" fontId="0" fillId="0" borderId="1" xfId="0" applyBorder="1"/>
    <xf numFmtId="0" fontId="0" fillId="0" borderId="13" xfId="0" applyFill="1" applyBorder="1"/>
    <xf numFmtId="165" fontId="6" fillId="6" borderId="5" xfId="0" applyNumberFormat="1" applyFont="1" applyFill="1" applyBorder="1"/>
    <xf numFmtId="166" fontId="6" fillId="6" borderId="5" xfId="0" applyNumberFormat="1" applyFont="1" applyFill="1" applyBorder="1"/>
    <xf numFmtId="0" fontId="0" fillId="0" borderId="14" xfId="0" applyBorder="1"/>
    <xf numFmtId="0" fontId="3" fillId="0" borderId="14" xfId="0" applyFont="1" applyBorder="1"/>
    <xf numFmtId="0" fontId="3" fillId="0" borderId="13" xfId="0" applyFont="1" applyFill="1" applyBorder="1"/>
    <xf numFmtId="0" fontId="0" fillId="0" borderId="14" xfId="0" applyFont="1" applyBorder="1"/>
    <xf numFmtId="0" fontId="0" fillId="0" borderId="13" xfId="0" applyFont="1" applyFill="1" applyBorder="1"/>
    <xf numFmtId="0" fontId="22" fillId="0" borderId="14" xfId="0" applyFont="1" applyBorder="1"/>
    <xf numFmtId="0" fontId="22" fillId="0" borderId="13" xfId="0" applyFont="1" applyFill="1" applyBorder="1"/>
    <xf numFmtId="165" fontId="22" fillId="0" borderId="0" xfId="0" applyNumberFormat="1" applyFont="1"/>
    <xf numFmtId="0" fontId="22" fillId="0" borderId="0" xfId="0" applyFont="1"/>
    <xf numFmtId="0" fontId="6" fillId="6" borderId="5" xfId="0" applyFont="1" applyFill="1" applyBorder="1"/>
    <xf numFmtId="0" fontId="6" fillId="6" borderId="11" xfId="0" applyFont="1" applyFill="1" applyBorder="1"/>
    <xf numFmtId="166" fontId="0" fillId="3" borderId="0" xfId="0" applyNumberFormat="1" applyFill="1" applyBorder="1" applyAlignment="1">
      <alignment horizontal="right"/>
    </xf>
    <xf numFmtId="166" fontId="0" fillId="3" borderId="0" xfId="0" applyNumberFormat="1" applyFill="1" applyBorder="1" applyAlignment="1">
      <alignment vertical="center"/>
    </xf>
    <xf numFmtId="166" fontId="0" fillId="3" borderId="12" xfId="0" applyNumberFormat="1" applyFill="1" applyBorder="1" applyAlignment="1">
      <alignment horizontal="right"/>
    </xf>
    <xf numFmtId="0" fontId="1" fillId="5" borderId="3" xfId="2" applyFont="1" applyFill="1" applyBorder="1"/>
    <xf numFmtId="166" fontId="0" fillId="0" borderId="15" xfId="0" applyNumberFormat="1" applyBorder="1"/>
    <xf numFmtId="165" fontId="0" fillId="0" borderId="15" xfId="0" applyNumberFormat="1" applyBorder="1"/>
    <xf numFmtId="0" fontId="0" fillId="0" borderId="15" xfId="0" applyBorder="1"/>
    <xf numFmtId="0" fontId="0" fillId="0" borderId="13" xfId="0" applyBorder="1"/>
    <xf numFmtId="0" fontId="3" fillId="0" borderId="3" xfId="0" applyFont="1" applyBorder="1"/>
    <xf numFmtId="0" fontId="6" fillId="0" borderId="3" xfId="0" applyFont="1" applyBorder="1"/>
    <xf numFmtId="0" fontId="2" fillId="0" borderId="0" xfId="0" applyFont="1"/>
    <xf numFmtId="0" fontId="1" fillId="0" borderId="5" xfId="2" applyFill="1" applyBorder="1"/>
    <xf numFmtId="0" fontId="1" fillId="0" borderId="15" xfId="2" applyFill="1" applyBorder="1"/>
    <xf numFmtId="0" fontId="1" fillId="0" borderId="13" xfId="2" applyFill="1" applyBorder="1"/>
    <xf numFmtId="0" fontId="0" fillId="0" borderId="3" xfId="0" applyBorder="1" applyAlignment="1">
      <alignment horizontal="center"/>
    </xf>
    <xf numFmtId="164" fontId="15" fillId="5" borderId="5" xfId="0" applyNumberFormat="1" applyFont="1" applyFill="1" applyBorder="1" applyAlignment="1">
      <alignment horizontal="center"/>
    </xf>
    <xf numFmtId="164" fontId="15" fillId="5" borderId="0" xfId="0" applyNumberFormat="1" applyFont="1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5" fillId="0" borderId="3" xfId="0" applyFont="1" applyBorder="1"/>
    <xf numFmtId="0" fontId="3" fillId="0" borderId="1" xfId="0" applyFont="1" applyBorder="1"/>
    <xf numFmtId="2" fontId="1" fillId="0" borderId="0" xfId="2" applyNumberFormat="1"/>
    <xf numFmtId="10" fontId="23" fillId="0" borderId="0" xfId="2" applyNumberFormat="1" applyFont="1" applyFill="1" applyAlignment="1">
      <alignment horizontal="center"/>
    </xf>
    <xf numFmtId="10" fontId="23" fillId="5" borderId="0" xfId="2" applyNumberFormat="1" applyFont="1" applyFill="1" applyAlignment="1">
      <alignment horizontal="center"/>
    </xf>
    <xf numFmtId="0" fontId="23" fillId="5" borderId="0" xfId="2" applyFont="1" applyFill="1" applyAlignment="1">
      <alignment horizontal="center"/>
    </xf>
    <xf numFmtId="0" fontId="23" fillId="0" borderId="0" xfId="2" applyFont="1" applyFill="1" applyAlignment="1">
      <alignment horizontal="center"/>
    </xf>
    <xf numFmtId="0" fontId="23" fillId="7" borderId="0" xfId="2" applyFont="1" applyFill="1" applyAlignment="1">
      <alignment horizontal="center"/>
    </xf>
    <xf numFmtId="9" fontId="0" fillId="0" borderId="3" xfId="0" applyNumberFormat="1" applyFill="1" applyBorder="1"/>
    <xf numFmtId="2" fontId="0" fillId="0" borderId="14" xfId="0" applyNumberFormat="1" applyBorder="1"/>
    <xf numFmtId="2" fontId="0" fillId="0" borderId="15" xfId="0" applyNumberFormat="1" applyBorder="1"/>
    <xf numFmtId="2" fontId="0" fillId="0" borderId="13" xfId="0" applyNumberFormat="1" applyBorder="1"/>
    <xf numFmtId="0" fontId="22" fillId="6" borderId="2" xfId="0" applyFont="1" applyFill="1" applyBorder="1" applyAlignment="1">
      <alignment horizontal="center"/>
    </xf>
    <xf numFmtId="0" fontId="22" fillId="6" borderId="4" xfId="0" applyFont="1" applyFill="1" applyBorder="1" applyAlignment="1">
      <alignment horizontal="center"/>
    </xf>
    <xf numFmtId="9" fontId="0" fillId="0" borderId="0" xfId="0" applyNumberFormat="1"/>
  </cellXfs>
  <cellStyles count="4">
    <cellStyle name="Comma" xfId="1" builtinId="3"/>
    <cellStyle name="Comma 2" xfId="3"/>
    <cellStyle name="Normal" xfId="0" builtinId="0"/>
    <cellStyle name="Normal 6" xfId="2"/>
  </cellStyles>
  <dxfs count="1">
    <dxf>
      <fill>
        <patternFill patternType="solid">
          <fgColor rgb="FFFFFF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57150</xdr:rowOff>
        </xdr:from>
        <xdr:to>
          <xdr:col>4</xdr:col>
          <xdr:colOff>190500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Pipe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57150</xdr:rowOff>
        </xdr:from>
        <xdr:to>
          <xdr:col>4</xdr:col>
          <xdr:colOff>190500</xdr:colOff>
          <xdr:row>3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Slab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970990</xdr:colOff>
          <xdr:row>1</xdr:row>
          <xdr:rowOff>79562</xdr:rowOff>
        </xdr:from>
        <xdr:to>
          <xdr:col>5</xdr:col>
          <xdr:colOff>246529</xdr:colOff>
          <xdr:row>3</xdr:row>
          <xdr:rowOff>98612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Slab Profile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4</xdr:row>
          <xdr:rowOff>171450</xdr:rowOff>
        </xdr:from>
        <xdr:to>
          <xdr:col>22</xdr:col>
          <xdr:colOff>190500</xdr:colOff>
          <xdr:row>8</xdr:row>
          <xdr:rowOff>19050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57150</xdr:rowOff>
        </xdr:from>
        <xdr:to>
          <xdr:col>3</xdr:col>
          <xdr:colOff>1171575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Box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57150</xdr:rowOff>
        </xdr:from>
        <xdr:to>
          <xdr:col>4</xdr:col>
          <xdr:colOff>190500</xdr:colOff>
          <xdr:row>3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Add_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Slab Profile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Qty_Mino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rawMin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"/>
      <sheetName val="Pipe"/>
      <sheetName val="Slab"/>
      <sheetName val="Box"/>
      <sheetName val="Pipe Culvert"/>
      <sheetName val="Schedule"/>
      <sheetName val="Variabel data"/>
      <sheetName val="excav"/>
      <sheetName val="mov"/>
    </sheetNames>
    <sheetDataSet>
      <sheetData sheetId="0"/>
      <sheetData sheetId="1"/>
      <sheetData sheetId="2">
        <row r="8">
          <cell r="E8"/>
        </row>
        <row r="14">
          <cell r="E14">
            <v>15.080000000000002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SLB_CU"/>
      <sheetName val="BOX_CU"/>
      <sheetName val="PipeEnd_data"/>
      <sheetName val="Chk_dm"/>
      <sheetName val="ERA2013"/>
      <sheetName val="Sheet1"/>
    </sheetNames>
    <sheetDataSet>
      <sheetData sheetId="0">
        <row r="4">
          <cell r="B4">
            <v>1220</v>
          </cell>
          <cell r="D4">
            <v>-4</v>
          </cell>
        </row>
        <row r="6">
          <cell r="J6">
            <v>1</v>
          </cell>
        </row>
      </sheetData>
      <sheetData sheetId="1">
        <row r="5">
          <cell r="D5">
            <v>1</v>
          </cell>
        </row>
        <row r="6">
          <cell r="F6" t="str">
            <v>One</v>
          </cell>
        </row>
        <row r="7">
          <cell r="I7" t="str">
            <v>Grade</v>
          </cell>
        </row>
      </sheetData>
      <sheetData sheetId="2">
        <row r="5">
          <cell r="D5">
            <v>2</v>
          </cell>
        </row>
      </sheetData>
      <sheetData sheetId="3"/>
      <sheetData sheetId="4"/>
      <sheetData sheetId="5">
        <row r="3">
          <cell r="M3">
            <v>10.72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39997558519241921"/>
  </sheetPr>
  <dimension ref="A1:AV36"/>
  <sheetViews>
    <sheetView topLeftCell="B1" zoomScale="85" zoomScaleNormal="85" workbookViewId="0">
      <selection activeCell="D18" sqref="D18:D19"/>
    </sheetView>
  </sheetViews>
  <sheetFormatPr defaultRowHeight="15" x14ac:dyDescent="0.25"/>
  <cols>
    <col min="1" max="1" width="5.140625" customWidth="1"/>
    <col min="2" max="2" width="12.28515625" customWidth="1"/>
    <col min="3" max="3" width="15" customWidth="1"/>
    <col min="4" max="4" width="18.42578125" customWidth="1"/>
    <col min="5" max="5" width="9.5703125" customWidth="1"/>
    <col min="6" max="6" width="9.140625" customWidth="1"/>
    <col min="7" max="7" width="14.28515625" customWidth="1"/>
    <col min="8" max="8" width="7.140625" customWidth="1"/>
    <col min="9" max="9" width="8.85546875" customWidth="1"/>
    <col min="10" max="10" width="10.140625" customWidth="1"/>
    <col min="11" max="11" width="9" customWidth="1"/>
    <col min="12" max="12" width="14.28515625" bestFit="1" customWidth="1"/>
    <col min="16" max="16" width="14.28515625" bestFit="1" customWidth="1"/>
    <col min="48" max="48" width="12.42578125" bestFit="1" customWidth="1"/>
  </cols>
  <sheetData>
    <row r="1" spans="1:48" x14ac:dyDescent="0.25">
      <c r="A1" s="1" t="s">
        <v>12</v>
      </c>
      <c r="B1" s="2"/>
      <c r="C1" s="2"/>
      <c r="D1" s="3" t="s">
        <v>9</v>
      </c>
      <c r="E1" s="4" t="s">
        <v>10</v>
      </c>
      <c r="F1" s="2"/>
      <c r="G1" s="2"/>
      <c r="H1" s="2"/>
      <c r="I1" s="2"/>
      <c r="J1" s="5"/>
      <c r="K1" s="5"/>
      <c r="L1" s="5"/>
    </row>
    <row r="2" spans="1:48" x14ac:dyDescent="0.25">
      <c r="A2" s="7"/>
      <c r="B2" s="6"/>
      <c r="C2" s="6"/>
      <c r="D2" s="6"/>
      <c r="E2" s="6"/>
      <c r="F2" s="6"/>
      <c r="G2" s="6"/>
      <c r="H2" s="6"/>
      <c r="I2" s="6"/>
      <c r="J2" s="6"/>
      <c r="N2" s="9"/>
    </row>
    <row r="3" spans="1:48" x14ac:dyDescent="0.25">
      <c r="A3" s="8"/>
      <c r="B3" s="32" t="s">
        <v>13</v>
      </c>
      <c r="C3" s="21"/>
      <c r="D3" s="6"/>
      <c r="E3" s="6"/>
      <c r="F3" s="6"/>
      <c r="G3" s="6"/>
      <c r="H3" s="6"/>
      <c r="I3" s="6"/>
      <c r="J3" s="6"/>
      <c r="N3" s="9"/>
    </row>
    <row r="4" spans="1:48" x14ac:dyDescent="0.25">
      <c r="A4" s="6"/>
      <c r="B4" s="26" t="str">
        <f>CONCATENATE("Chainage"," ","-"," ",TEXT([1]Slab!$E$8,"0+000"))</f>
        <v>Chainage - 0+000</v>
      </c>
      <c r="C4" s="27"/>
      <c r="D4" s="6"/>
      <c r="E4" s="23"/>
      <c r="F4" s="23"/>
      <c r="G4" s="6"/>
      <c r="H4" s="6"/>
      <c r="I4" s="6"/>
      <c r="J4" s="6"/>
      <c r="N4" s="9"/>
    </row>
    <row r="5" spans="1:48" x14ac:dyDescent="0.25">
      <c r="A5" s="6"/>
      <c r="B5" s="26" t="str">
        <f>CONCATENATE("Structure"," ","-"," ","Pipe Culvert")</f>
        <v>Structure - Pipe Culvert</v>
      </c>
      <c r="C5" s="28"/>
      <c r="D5" s="6"/>
      <c r="E5" s="23"/>
      <c r="F5" s="23" t="s">
        <v>53</v>
      </c>
      <c r="G5" s="6"/>
      <c r="H5" s="6"/>
      <c r="I5" s="6"/>
      <c r="J5" s="6"/>
      <c r="N5" s="9"/>
    </row>
    <row r="6" spans="1:48" x14ac:dyDescent="0.25">
      <c r="A6" s="6"/>
      <c r="B6" s="26" t="str">
        <f>CONCATENATE("Diameter"," ","-"," ","Ø",[2]main!$B$4/1000,"*",[2]main!$J$6)</f>
        <v>Diameter - Ø1.22*1</v>
      </c>
      <c r="C6" s="29"/>
      <c r="D6" s="6"/>
      <c r="E6" s="6"/>
      <c r="F6" s="6" t="s">
        <v>47</v>
      </c>
      <c r="G6" s="6"/>
      <c r="H6" s="6"/>
      <c r="I6" s="64" t="s">
        <v>49</v>
      </c>
      <c r="J6" s="6"/>
      <c r="N6" s="9"/>
      <c r="O6" s="9"/>
      <c r="P6" s="9"/>
      <c r="AR6" s="13"/>
      <c r="AS6" s="13"/>
      <c r="AU6" s="13"/>
      <c r="AV6" s="14"/>
    </row>
    <row r="7" spans="1:48" x14ac:dyDescent="0.25">
      <c r="A7" s="6"/>
      <c r="B7" s="26" t="str">
        <f>CONCATENATE("Skew Angle"," ","-"," ",5,"°")</f>
        <v>Skew Angle - 5°</v>
      </c>
      <c r="C7" s="29"/>
      <c r="D7" s="6"/>
      <c r="E7" s="6"/>
      <c r="F7" s="62" t="s">
        <v>41</v>
      </c>
      <c r="G7" s="67" t="s">
        <v>48</v>
      </c>
      <c r="H7" s="66"/>
      <c r="I7" s="64" t="s">
        <v>50</v>
      </c>
      <c r="J7" s="6"/>
      <c r="AR7" s="13"/>
      <c r="AS7" s="13"/>
      <c r="AU7" s="14"/>
      <c r="AV7" s="15"/>
    </row>
    <row r="8" spans="1:48" x14ac:dyDescent="0.25">
      <c r="A8" s="6"/>
      <c r="B8" s="26" t="str">
        <f>CONCATENATE("Pipe length"," ","-"," ",TEXT([1]Slab!$E$14,"0.00"),"m")</f>
        <v>Pipe length - 15.08m</v>
      </c>
      <c r="C8" s="29"/>
      <c r="D8" s="63" t="s">
        <v>55</v>
      </c>
      <c r="E8" s="6"/>
      <c r="F8" s="62" t="s">
        <v>41</v>
      </c>
      <c r="G8" s="69" t="s">
        <v>51</v>
      </c>
      <c r="H8" s="68"/>
      <c r="I8" s="6"/>
      <c r="J8" s="6"/>
      <c r="AR8" s="13"/>
      <c r="AS8" s="13"/>
      <c r="AU8" s="14"/>
      <c r="AV8" s="15"/>
    </row>
    <row r="9" spans="1:48" x14ac:dyDescent="0.25">
      <c r="A9" s="6"/>
      <c r="B9" s="26" t="str">
        <f>CONCATENATE("Slope"," ","="," ",ABS([2]main!$D$4),"%")</f>
        <v>Slope = 4%</v>
      </c>
      <c r="C9" s="29"/>
      <c r="D9" s="63" t="s">
        <v>55</v>
      </c>
      <c r="E9" s="6"/>
      <c r="F9" s="62" t="s">
        <v>41</v>
      </c>
      <c r="G9" s="65" t="s">
        <v>52</v>
      </c>
      <c r="H9" s="6"/>
      <c r="I9" s="6"/>
      <c r="J9" s="6"/>
      <c r="AR9" s="13"/>
      <c r="AS9" s="13"/>
      <c r="AU9" s="14"/>
      <c r="AV9" s="15"/>
    </row>
    <row r="10" spans="1:48" x14ac:dyDescent="0.25">
      <c r="A10" s="6"/>
      <c r="B10" s="26" t="str">
        <f>CONCATENATE("Design Elevation"," ","="," ","###")</f>
        <v>Design Elevation = ###</v>
      </c>
      <c r="C10" s="29"/>
      <c r="D10" s="63" t="s">
        <v>55</v>
      </c>
      <c r="E10" s="6"/>
      <c r="F10" s="6" t="s">
        <v>54</v>
      </c>
      <c r="G10" s="6"/>
      <c r="H10" s="6"/>
      <c r="I10" s="6"/>
      <c r="J10" s="6"/>
      <c r="AR10" s="13"/>
      <c r="AS10" s="13"/>
      <c r="AU10" s="14"/>
      <c r="AV10" s="15"/>
    </row>
    <row r="11" spans="1:48" x14ac:dyDescent="0.25">
      <c r="A11" s="6"/>
      <c r="B11" s="26" t="str">
        <f>CONCATENATE("Invert Elev@ Inlet"," ","="," ","###")</f>
        <v>Invert Elev@ Inlet = ###</v>
      </c>
      <c r="C11" s="29"/>
      <c r="D11" s="63" t="s">
        <v>55</v>
      </c>
      <c r="E11" s="6"/>
      <c r="F11" s="62" t="s">
        <v>41</v>
      </c>
      <c r="G11" s="6"/>
      <c r="H11" s="6"/>
      <c r="I11" s="6"/>
      <c r="J11" s="6"/>
    </row>
    <row r="12" spans="1:48" x14ac:dyDescent="0.25">
      <c r="A12" s="6"/>
      <c r="B12" s="26" t="str">
        <f>CONCATENATE("Invert Elev@ Center"," ","="," ","###")</f>
        <v>Invert Elev@ Center = ###</v>
      </c>
      <c r="C12" s="29"/>
      <c r="D12" s="63" t="s">
        <v>55</v>
      </c>
      <c r="E12" s="6"/>
      <c r="F12" s="62" t="s">
        <v>41</v>
      </c>
      <c r="G12" s="6"/>
      <c r="H12" s="6"/>
      <c r="I12" s="6" t="s">
        <v>59</v>
      </c>
      <c r="J12" s="6"/>
    </row>
    <row r="13" spans="1:48" x14ac:dyDescent="0.25">
      <c r="A13" s="11"/>
      <c r="B13" s="26" t="str">
        <f>CONCATENATE("Invert Elev@ Outlet"," ","="," ","###")</f>
        <v>Invert Elev@ Outlet = ###</v>
      </c>
      <c r="C13" s="29"/>
      <c r="D13" s="6"/>
      <c r="E13" s="31"/>
      <c r="F13" s="6" t="s">
        <v>56</v>
      </c>
      <c r="G13" s="6"/>
      <c r="H13" s="6"/>
      <c r="I13" s="6"/>
      <c r="J13" s="6"/>
    </row>
    <row r="14" spans="1:48" x14ac:dyDescent="0.25">
      <c r="A14" s="11"/>
      <c r="B14" s="26" t="str">
        <f>CONCATENATE("Unit of Measurement"," ","-"," ","meter")</f>
        <v>Unit of Measurement - meter</v>
      </c>
      <c r="C14" s="29"/>
      <c r="D14" s="6"/>
      <c r="E14" s="6"/>
      <c r="F14" s="62" t="s">
        <v>41</v>
      </c>
      <c r="G14" s="6"/>
      <c r="H14" s="6"/>
      <c r="I14" s="6"/>
      <c r="J14" s="6"/>
    </row>
    <row r="15" spans="1:48" x14ac:dyDescent="0.25">
      <c r="A15" s="11"/>
      <c r="B15" s="30" t="str">
        <f>CONCATENATE("Class C Pipe bedding"," ","-"," ","###","m")</f>
        <v>Class C Pipe bedding - ###m</v>
      </c>
      <c r="C15" s="22"/>
      <c r="D15" s="6"/>
      <c r="E15" s="6"/>
      <c r="F15" s="6" t="s">
        <v>56</v>
      </c>
      <c r="G15" s="6"/>
      <c r="H15" s="6"/>
      <c r="I15" s="6"/>
      <c r="J15" s="6"/>
    </row>
    <row r="16" spans="1:48" x14ac:dyDescent="0.25">
      <c r="A16" s="11"/>
      <c r="B16" s="6"/>
      <c r="C16" s="6"/>
      <c r="D16" s="6"/>
      <c r="E16" s="6"/>
      <c r="F16" s="62" t="s">
        <v>41</v>
      </c>
      <c r="G16" s="6"/>
      <c r="H16" s="6"/>
      <c r="I16" s="6"/>
      <c r="J16" s="6"/>
    </row>
    <row r="17" spans="1:10" x14ac:dyDescent="0.25">
      <c r="A17" s="11"/>
      <c r="B17" s="11"/>
      <c r="C17" s="6" t="s">
        <v>46</v>
      </c>
      <c r="D17" s="10"/>
      <c r="E17" s="8"/>
      <c r="F17" s="6" t="s">
        <v>57</v>
      </c>
      <c r="G17" s="10"/>
      <c r="H17" s="10"/>
      <c r="I17" s="10"/>
      <c r="J17" s="10"/>
    </row>
    <row r="18" spans="1:10" x14ac:dyDescent="0.25">
      <c r="A18" s="11"/>
      <c r="B18" s="62" t="s">
        <v>41</v>
      </c>
      <c r="C18" s="8" t="s">
        <v>42</v>
      </c>
      <c r="D18" s="10"/>
      <c r="E18" s="8"/>
      <c r="F18" s="62" t="s">
        <v>41</v>
      </c>
      <c r="G18" s="10"/>
      <c r="H18" s="10"/>
      <c r="I18" s="10"/>
      <c r="J18" s="10"/>
    </row>
    <row r="19" spans="1:10" x14ac:dyDescent="0.25">
      <c r="A19" s="11"/>
      <c r="B19" s="62" t="s">
        <v>41</v>
      </c>
      <c r="C19" s="8" t="s">
        <v>43</v>
      </c>
      <c r="D19" s="10"/>
      <c r="E19" s="8"/>
      <c r="F19" s="6" t="s">
        <v>58</v>
      </c>
      <c r="G19" s="10"/>
      <c r="H19" s="10"/>
      <c r="I19" s="10"/>
      <c r="J19" s="10"/>
    </row>
    <row r="20" spans="1:10" x14ac:dyDescent="0.25">
      <c r="A20" s="11"/>
      <c r="B20" s="62" t="s">
        <v>41</v>
      </c>
      <c r="C20" s="8" t="s">
        <v>44</v>
      </c>
      <c r="D20" s="10"/>
      <c r="E20" s="8"/>
      <c r="F20" s="62" t="s">
        <v>41</v>
      </c>
      <c r="G20" s="10"/>
      <c r="H20" s="10"/>
      <c r="I20" s="10"/>
      <c r="J20" s="10"/>
    </row>
    <row r="21" spans="1:10" x14ac:dyDescent="0.25">
      <c r="A21" s="11"/>
      <c r="B21" s="62" t="s">
        <v>41</v>
      </c>
      <c r="C21" s="8" t="s">
        <v>45</v>
      </c>
      <c r="D21" s="10"/>
      <c r="E21" s="8"/>
      <c r="F21" s="10"/>
      <c r="G21" s="10"/>
      <c r="H21" s="10"/>
      <c r="I21" s="10"/>
      <c r="J21" s="10"/>
    </row>
    <row r="22" spans="1:10" x14ac:dyDescent="0.25">
      <c r="A22" s="11"/>
      <c r="B22" s="11"/>
      <c r="C22" s="8"/>
      <c r="D22" s="10"/>
      <c r="E22" s="8"/>
      <c r="F22" s="10"/>
      <c r="G22" s="10"/>
      <c r="H22" s="10"/>
      <c r="I22" s="10"/>
      <c r="J22" s="10"/>
    </row>
    <row r="23" spans="1:10" x14ac:dyDescent="0.25">
      <c r="A23" s="33"/>
      <c r="B23" s="33"/>
      <c r="C23" s="34"/>
      <c r="D23" s="35"/>
      <c r="E23" s="34"/>
      <c r="F23" s="35"/>
      <c r="G23" s="35"/>
      <c r="H23" s="35"/>
      <c r="I23" s="35"/>
      <c r="J23" s="35"/>
    </row>
    <row r="24" spans="1:10" x14ac:dyDescent="0.25">
      <c r="C24" s="6" t="s">
        <v>0</v>
      </c>
      <c r="D24" s="6"/>
      <c r="E24" s="6"/>
      <c r="F24" s="6"/>
      <c r="G24" s="6"/>
      <c r="H24" s="6"/>
      <c r="I24" s="6"/>
    </row>
    <row r="25" spans="1:10" x14ac:dyDescent="0.25">
      <c r="C25" s="6" t="s">
        <v>1</v>
      </c>
      <c r="D25" s="6"/>
      <c r="E25" s="6"/>
      <c r="F25" s="6"/>
      <c r="G25" s="6"/>
      <c r="H25" s="6"/>
      <c r="I25" s="6"/>
    </row>
    <row r="26" spans="1:10" x14ac:dyDescent="0.25">
      <c r="C26" s="6"/>
      <c r="D26" s="6" t="s">
        <v>2</v>
      </c>
      <c r="E26" s="6"/>
      <c r="F26" s="6"/>
      <c r="G26" s="6"/>
      <c r="H26" s="6"/>
      <c r="I26" s="6"/>
    </row>
    <row r="27" spans="1:10" x14ac:dyDescent="0.25">
      <c r="C27" s="6"/>
      <c r="D27" s="6" t="s">
        <v>3</v>
      </c>
      <c r="E27" s="6"/>
      <c r="F27" s="6"/>
      <c r="G27" s="6"/>
      <c r="H27" s="6"/>
      <c r="I27" s="6"/>
    </row>
    <row r="28" spans="1:10" x14ac:dyDescent="0.25">
      <c r="C28" s="6"/>
      <c r="D28" s="6"/>
      <c r="E28" s="6"/>
      <c r="F28" s="6"/>
      <c r="G28" s="6"/>
      <c r="H28" s="6"/>
      <c r="I28" s="6"/>
    </row>
    <row r="29" spans="1:10" x14ac:dyDescent="0.25">
      <c r="C29" s="6" t="s">
        <v>5</v>
      </c>
      <c r="D29" s="6"/>
      <c r="E29" s="6"/>
      <c r="F29" s="6"/>
      <c r="G29" s="6"/>
      <c r="H29" s="6"/>
      <c r="I29" s="6"/>
    </row>
    <row r="30" spans="1:10" x14ac:dyDescent="0.25">
      <c r="C30" s="6"/>
      <c r="D30" s="6" t="s">
        <v>4</v>
      </c>
      <c r="E30" s="6"/>
      <c r="F30" s="6"/>
      <c r="G30" s="6"/>
      <c r="H30" s="6"/>
      <c r="I30" s="6"/>
    </row>
    <row r="31" spans="1:10" x14ac:dyDescent="0.25">
      <c r="C31" s="6"/>
      <c r="D31" s="6"/>
      <c r="E31" s="6"/>
      <c r="F31" s="6"/>
      <c r="G31" s="6"/>
      <c r="H31" s="6"/>
      <c r="I31" s="6"/>
    </row>
    <row r="32" spans="1:10" x14ac:dyDescent="0.25">
      <c r="C32" s="6" t="s">
        <v>6</v>
      </c>
      <c r="D32" s="6"/>
      <c r="E32" s="6"/>
      <c r="F32" s="6"/>
      <c r="G32" s="6"/>
      <c r="H32" s="6"/>
      <c r="I32" s="6"/>
    </row>
    <row r="33" spans="3:9" x14ac:dyDescent="0.25">
      <c r="C33" s="6"/>
      <c r="D33" s="6" t="s">
        <v>7</v>
      </c>
      <c r="E33" s="6"/>
      <c r="F33" s="6"/>
      <c r="G33" s="6"/>
      <c r="H33" s="6"/>
      <c r="I33" s="6"/>
    </row>
    <row r="34" spans="3:9" x14ac:dyDescent="0.25">
      <c r="C34" s="6"/>
      <c r="D34" s="6" t="s">
        <v>7</v>
      </c>
      <c r="E34" s="6"/>
      <c r="F34" s="6"/>
      <c r="G34" s="6"/>
      <c r="H34" s="6"/>
      <c r="I34" s="6"/>
    </row>
    <row r="35" spans="3:9" x14ac:dyDescent="0.25">
      <c r="C35" s="6"/>
      <c r="D35" s="6" t="s">
        <v>7</v>
      </c>
      <c r="E35" s="6"/>
      <c r="F35" s="6"/>
      <c r="G35" s="6"/>
      <c r="H35" s="6"/>
      <c r="I35" s="6"/>
    </row>
    <row r="36" spans="3:9" x14ac:dyDescent="0.25">
      <c r="C36" s="6"/>
      <c r="D36" s="6" t="s">
        <v>7</v>
      </c>
      <c r="E36" s="6"/>
      <c r="F36" s="6"/>
      <c r="G36" s="6"/>
      <c r="H36" s="6"/>
      <c r="I36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profile.add_profile">
                <anchor moveWithCells="1" sizeWithCells="1">
                  <from>
                    <xdr:col>3</xdr:col>
                    <xdr:colOff>276225</xdr:colOff>
                    <xdr:row>1</xdr:row>
                    <xdr:rowOff>57150</xdr:rowOff>
                  </from>
                  <to>
                    <xdr:col>4</xdr:col>
                    <xdr:colOff>190500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39997558519241921"/>
  </sheetPr>
  <dimension ref="A1:AX253"/>
  <sheetViews>
    <sheetView zoomScale="85" zoomScaleNormal="85" workbookViewId="0">
      <pane xSplit="4200" ySplit="3300" topLeftCell="Q10" activePane="bottomRight"/>
      <selection activeCell="Q5" sqref="Q5"/>
      <selection pane="topRight" activeCell="S10" sqref="S10"/>
      <selection pane="bottomLeft" activeCell="A18" sqref="A18:XFD18"/>
      <selection pane="bottomRight" activeCell="V18" sqref="V18"/>
    </sheetView>
  </sheetViews>
  <sheetFormatPr defaultRowHeight="15" x14ac:dyDescent="0.25"/>
  <cols>
    <col min="1" max="1" width="3.42578125" customWidth="1"/>
    <col min="2" max="2" width="11.140625" customWidth="1"/>
    <col min="3" max="3" width="13.5703125" customWidth="1"/>
    <col min="4" max="4" width="18.42578125" customWidth="1"/>
    <col min="5" max="5" width="9.5703125" customWidth="1"/>
    <col min="6" max="6" width="9.140625" customWidth="1"/>
    <col min="7" max="9" width="17.140625" customWidth="1"/>
    <col min="10" max="10" width="15.140625" customWidth="1"/>
    <col min="12" max="12" width="8.85546875" customWidth="1"/>
    <col min="13" max="13" width="9" customWidth="1"/>
    <col min="14" max="14" width="14.28515625" bestFit="1" customWidth="1"/>
    <col min="18" max="18" width="14.28515625" bestFit="1" customWidth="1"/>
    <col min="19" max="19" width="8.7109375" customWidth="1"/>
    <col min="20" max="20" width="11" customWidth="1"/>
    <col min="26" max="26" width="10" customWidth="1"/>
    <col min="50" max="50" width="12.42578125" bestFit="1" customWidth="1"/>
  </cols>
  <sheetData>
    <row r="1" spans="1:50" ht="15" customHeight="1" x14ac:dyDescent="0.25">
      <c r="A1" s="1" t="s">
        <v>60</v>
      </c>
      <c r="B1" s="2" t="str">
        <f ca="1">CHAR(RANDBETWEEN(67,90))&amp;CHAR(RANDBETWEEN(67,90))&amp;CHAR(RANDBETWEEN(67,90))&amp;CHAR(RANDBETWEEN(67,90))&amp;CHAR(RANDBETWEEN(67,90))&amp;CHAR(RANDBETWEEN(67,90))&amp;CHAR(RANDBETWEEN(67,90))&amp;CHAR(RANDBETWEEN(67,90))</f>
        <v>FDPLNLLC</v>
      </c>
      <c r="C1" s="2" t="s">
        <v>86</v>
      </c>
      <c r="D1" s="70"/>
      <c r="E1" s="70"/>
      <c r="F1" s="70"/>
      <c r="G1" s="70"/>
      <c r="H1" s="24"/>
      <c r="I1" s="24"/>
      <c r="J1" s="2"/>
      <c r="K1" s="2"/>
      <c r="L1" s="5"/>
    </row>
    <row r="2" spans="1:50" x14ac:dyDescent="0.25">
      <c r="A2" s="7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P2" s="9"/>
    </row>
    <row r="3" spans="1:50" x14ac:dyDescent="0.25">
      <c r="A3" s="8"/>
      <c r="B3" t="str">
        <f>CONCATENATE(N3,S3)</f>
        <v>Chainage---------------0+140.00</v>
      </c>
      <c r="D3" s="6"/>
      <c r="E3" s="6"/>
      <c r="F3" s="32" t="s">
        <v>11</v>
      </c>
      <c r="G3" s="6"/>
      <c r="H3" s="6"/>
      <c r="I3" s="6"/>
      <c r="J3" s="6" t="str">
        <f>IF(L2="R","Right","Left")</f>
        <v>Left</v>
      </c>
      <c r="K3" s="6"/>
      <c r="L3" s="6"/>
      <c r="N3" t="s">
        <v>61</v>
      </c>
      <c r="P3" s="9"/>
      <c r="S3" s="80" t="s">
        <v>79</v>
      </c>
      <c r="U3" t="s">
        <v>69</v>
      </c>
    </row>
    <row r="4" spans="1:50" x14ac:dyDescent="0.25">
      <c r="A4" s="6"/>
      <c r="B4" t="str">
        <f t="shared" ref="B4:B11" si="0">CONCATENATE(N4,R4)</f>
        <v>Side------------------LHS-FILL</v>
      </c>
      <c r="D4" s="6"/>
      <c r="E4" s="23"/>
      <c r="F4" s="26" t="e">
        <f>CONCATENATE("Chainage"," ","-"," ",TEXT(#REF!,"0+000"))</f>
        <v>#REF!</v>
      </c>
      <c r="G4" s="6"/>
      <c r="H4" s="6"/>
      <c r="I4" s="6"/>
      <c r="J4" s="6"/>
      <c r="K4" s="6"/>
      <c r="L4" s="6"/>
      <c r="N4" t="s">
        <v>63</v>
      </c>
      <c r="P4" s="9"/>
      <c r="R4" t="str">
        <f>CONCATENATE(S4,"-",T4)</f>
        <v>LHS-FILL</v>
      </c>
      <c r="S4" s="77" t="s">
        <v>66</v>
      </c>
      <c r="T4" s="78" t="s">
        <v>68</v>
      </c>
      <c r="U4" t="s">
        <v>70</v>
      </c>
    </row>
    <row r="5" spans="1:50" x14ac:dyDescent="0.25">
      <c r="A5" s="6"/>
      <c r="B5" t="str">
        <f t="shared" si="0"/>
        <v>Structure Type-----------Masony RW</v>
      </c>
      <c r="D5" s="6"/>
      <c r="E5" s="23"/>
      <c r="F5" s="26" t="e">
        <f>CONCATENATE("Name"," ","-"," ","Slab Culvert @",#REF!)</f>
        <v>#REF!</v>
      </c>
      <c r="G5" s="6"/>
      <c r="H5" s="6"/>
      <c r="I5" s="32" t="s">
        <v>13</v>
      </c>
      <c r="J5" s="21"/>
      <c r="K5" s="6"/>
      <c r="L5" s="6"/>
      <c r="N5" t="s">
        <v>64</v>
      </c>
      <c r="P5" s="9"/>
      <c r="R5" t="s">
        <v>62</v>
      </c>
      <c r="S5" s="76"/>
      <c r="T5" s="72"/>
    </row>
    <row r="6" spans="1:50" x14ac:dyDescent="0.25">
      <c r="A6" s="6"/>
      <c r="B6" t="str">
        <f t="shared" si="0"/>
        <v>Offset Distance----------4.63 LHS</v>
      </c>
      <c r="D6" s="6"/>
      <c r="E6" s="23"/>
      <c r="F6" s="26" t="str">
        <f>CONCATENATE("No of Cell"," ","-"," ",[2]SLB_CU!$F$6)</f>
        <v>No of Cell - One</v>
      </c>
      <c r="G6" s="6"/>
      <c r="H6" s="6"/>
      <c r="I6" s="26" t="e">
        <f>CONCATENATE("Chainage"," ","-"," ",TEXT(#REF!,"0+000"))</f>
        <v>#REF!</v>
      </c>
      <c r="J6" s="27"/>
      <c r="K6" s="6"/>
      <c r="L6" s="6"/>
      <c r="N6" t="s">
        <v>65</v>
      </c>
      <c r="P6" s="9"/>
      <c r="Q6" s="9"/>
      <c r="R6" s="9" t="str">
        <f t="shared" ref="R6:R10" si="1">CONCATENATE(S6," ",T6)</f>
        <v>4.63 LHS</v>
      </c>
      <c r="S6" s="82">
        <v>4.63</v>
      </c>
      <c r="T6" s="73" t="s">
        <v>66</v>
      </c>
      <c r="AT6" s="112"/>
      <c r="AU6" s="112"/>
      <c r="AW6" s="112"/>
      <c r="AX6" s="112"/>
    </row>
    <row r="7" spans="1:50" x14ac:dyDescent="0.25">
      <c r="A7" s="6"/>
      <c r="B7" t="str">
        <f t="shared" si="0"/>
        <v>Masonry Area------------5.21 m2</v>
      </c>
      <c r="D7" s="6"/>
      <c r="E7" s="6"/>
      <c r="F7" s="26" t="e">
        <f>CONCATENATE("Clear Span"," ","-"," ",#REF!,"m")</f>
        <v>#REF!</v>
      </c>
      <c r="G7" s="6"/>
      <c r="H7" s="6"/>
      <c r="I7" s="26" t="str">
        <f>CONCATENATE("Structure"," ","-"," ","Pipe Culvert")</f>
        <v>Structure - Pipe Culvert</v>
      </c>
      <c r="J7" s="28"/>
      <c r="K7" s="6"/>
      <c r="L7" s="6"/>
      <c r="N7" t="s">
        <v>82</v>
      </c>
      <c r="P7" s="9"/>
      <c r="Q7" s="9"/>
      <c r="R7" s="9" t="str">
        <f t="shared" si="1"/>
        <v>5.21 m2</v>
      </c>
      <c r="S7" s="86">
        <v>5.21</v>
      </c>
      <c r="T7" s="74" t="s">
        <v>67</v>
      </c>
      <c r="AT7" s="13"/>
      <c r="AU7" s="13"/>
      <c r="AW7" s="13"/>
      <c r="AX7" s="14"/>
    </row>
    <row r="8" spans="1:50" x14ac:dyDescent="0.25">
      <c r="A8" s="6"/>
      <c r="B8" t="str">
        <f t="shared" si="0"/>
        <v>Concrete Area------------0.49 m2</v>
      </c>
      <c r="D8" s="6"/>
      <c r="E8" s="6"/>
      <c r="F8" s="26" t="e">
        <f>CONCATENATE("Clear Height"," ","-"," ",#REF!,"m")</f>
        <v>#REF!</v>
      </c>
      <c r="G8" s="6"/>
      <c r="H8" s="6"/>
      <c r="I8" s="26" t="str">
        <f>CONCATENATE("Diameter"," ","-"," ","Ø",[2]main!$B$4/1000,"*",1)</f>
        <v>Diameter - Ø1.22*1</v>
      </c>
      <c r="J8" s="28"/>
      <c r="K8" s="6"/>
      <c r="L8" s="6"/>
      <c r="N8" t="s">
        <v>83</v>
      </c>
      <c r="R8" t="str">
        <f t="shared" si="1"/>
        <v>0.49 m2</v>
      </c>
      <c r="S8" s="85">
        <v>0.49</v>
      </c>
      <c r="T8" s="74" t="s">
        <v>67</v>
      </c>
      <c r="AT8" s="13"/>
      <c r="AU8" s="13"/>
      <c r="AW8" s="14"/>
      <c r="AX8" s="15"/>
    </row>
    <row r="9" spans="1:50" x14ac:dyDescent="0.25">
      <c r="A9" s="6"/>
      <c r="B9" t="str">
        <f t="shared" si="0"/>
        <v>Structural Excavation Area----12.531 m2</v>
      </c>
      <c r="D9" s="6"/>
      <c r="E9" s="6"/>
      <c r="F9" s="26" t="e">
        <f>CONCATENATE("Skew Angle"," ","-"," ",#REF!,"°")</f>
        <v>#REF!</v>
      </c>
      <c r="G9" s="6"/>
      <c r="H9" s="6"/>
      <c r="I9" s="26" t="str">
        <f>CONCATENATE("Skew Angle"," ","-"," ",0,"°")</f>
        <v>Skew Angle - 0°</v>
      </c>
      <c r="J9" s="29"/>
      <c r="K9" s="6"/>
      <c r="L9" s="6"/>
      <c r="N9" t="s">
        <v>84</v>
      </c>
      <c r="R9" t="str">
        <f t="shared" si="1"/>
        <v>12.531 m2</v>
      </c>
      <c r="S9" s="96">
        <v>12.531000000000001</v>
      </c>
      <c r="T9" s="74" t="s">
        <v>67</v>
      </c>
      <c r="AT9" s="13"/>
      <c r="AU9" s="13"/>
      <c r="AW9" s="14"/>
      <c r="AX9" s="15"/>
    </row>
    <row r="10" spans="1:50" x14ac:dyDescent="0.25">
      <c r="A10" s="6"/>
      <c r="B10" t="str">
        <f t="shared" si="0"/>
        <v>Structural Backfill Area------7.89 m2</v>
      </c>
      <c r="D10" s="6"/>
      <c r="E10" s="6"/>
      <c r="F10" s="26" t="e">
        <f>CONCATENATE("Slab length"," ","-"," ",TEXT(#REF!,"0.00"),"m")</f>
        <v>#REF!</v>
      </c>
      <c r="G10" s="25"/>
      <c r="H10" s="25"/>
      <c r="I10" s="26" t="e">
        <f>CONCATENATE("Pipe length"," ","-"," ",TEXT(#REF!,"0.00"),"m")</f>
        <v>#REF!</v>
      </c>
      <c r="J10" s="29"/>
      <c r="K10" s="6"/>
      <c r="L10" s="6"/>
      <c r="N10" t="s">
        <v>85</v>
      </c>
      <c r="R10" t="str">
        <f t="shared" si="1"/>
        <v>7.89 m2</v>
      </c>
      <c r="S10" s="97">
        <v>7.89</v>
      </c>
      <c r="T10" s="75" t="s">
        <v>67</v>
      </c>
      <c r="AT10" s="13"/>
      <c r="AU10" s="13"/>
      <c r="AW10" s="14"/>
      <c r="AX10" s="15"/>
    </row>
    <row r="11" spans="1:50" x14ac:dyDescent="0.25">
      <c r="A11" s="6"/>
      <c r="B11" t="str">
        <f t="shared" si="0"/>
        <v/>
      </c>
      <c r="D11" s="6"/>
      <c r="E11" s="6"/>
      <c r="F11" s="26" t="e">
        <f>CONCATENATE("Invert Slope"," ","="," ",ABS(#REF!),"%"," to the ",IF(#REF!="R","Right","Left"))</f>
        <v>#REF!</v>
      </c>
      <c r="G11" s="6"/>
      <c r="H11" s="6"/>
      <c r="I11" s="26" t="e">
        <f>CONCATENATE("Slope"," ","="," ",ABS(3),"%"," to the ",IF(#REF!="R","Right","Left"))</f>
        <v>#REF!</v>
      </c>
      <c r="J11" s="29"/>
      <c r="K11" s="6"/>
      <c r="L11" s="6"/>
      <c r="AT11" s="13"/>
      <c r="AU11" s="13"/>
      <c r="AW11" s="14"/>
      <c r="AX11" s="15"/>
    </row>
    <row r="12" spans="1:50" x14ac:dyDescent="0.25">
      <c r="A12" s="6"/>
      <c r="D12" s="6"/>
      <c r="E12" s="6"/>
      <c r="F12" s="26" t="e">
        <f>CONCATENATE("Design Elevation"," ","="," ",TEXT(#REF!,"0.0000"))</f>
        <v>#REF!</v>
      </c>
      <c r="G12" s="6"/>
      <c r="H12" s="6"/>
      <c r="I12" s="26" t="e">
        <f>CONCATENATE("Design Elevation"," ","="," ",TEXT(#REF!,"0.0000"))</f>
        <v>#REF!</v>
      </c>
      <c r="J12" s="29"/>
      <c r="K12" s="6"/>
      <c r="L12" s="6"/>
      <c r="AT12" s="13"/>
      <c r="AU12" s="13"/>
      <c r="AW12" s="14"/>
      <c r="AX12" s="15"/>
    </row>
    <row r="13" spans="1:50" x14ac:dyDescent="0.25">
      <c r="A13" s="6"/>
      <c r="D13" s="6"/>
      <c r="E13" s="6"/>
      <c r="F13" s="30" t="e">
        <f>CONCATENATE("Invert Elevation"," ","="," ",TEXT(#REF!,"0.0000"))</f>
        <v>#REF!</v>
      </c>
      <c r="G13" s="6"/>
      <c r="H13" s="6"/>
      <c r="I13" s="26" t="e">
        <f>CONCATENATE("Invert Elev@ Inlet"," ","="," ",TEXT(#REF!,"0.0000"))</f>
        <v>#REF!</v>
      </c>
      <c r="J13" s="29"/>
      <c r="K13" s="6"/>
      <c r="L13" s="6"/>
      <c r="R13" t="s">
        <v>93</v>
      </c>
    </row>
    <row r="14" spans="1:50" x14ac:dyDescent="0.25">
      <c r="A14" s="6"/>
      <c r="D14" s="6"/>
      <c r="E14" s="6"/>
      <c r="F14" s="6"/>
      <c r="G14" s="6"/>
      <c r="H14" s="6"/>
      <c r="I14" s="26" t="e">
        <f>CONCATENATE("Invert Elev@ Center"," ","="," ",TEXT(#REF!,"0.0000"))</f>
        <v>#REF!</v>
      </c>
      <c r="J14" s="29"/>
      <c r="K14" s="6"/>
      <c r="L14" s="6"/>
    </row>
    <row r="15" spans="1:50" x14ac:dyDescent="0.25">
      <c r="A15" s="11"/>
      <c r="B15" s="30"/>
      <c r="C15" s="6"/>
      <c r="D15" s="6"/>
      <c r="E15" s="6"/>
      <c r="F15" s="6"/>
      <c r="G15" s="6"/>
      <c r="H15" s="6"/>
      <c r="I15" s="26" t="e">
        <f>CONCATENATE("Invert Elev@ Outlet"," ","="," ",TEXT(#REF!,"0.0000"))</f>
        <v>#REF!</v>
      </c>
      <c r="J15" s="22"/>
      <c r="K15" s="6"/>
      <c r="L15" s="6"/>
    </row>
    <row r="16" spans="1:50" x14ac:dyDescent="0.25">
      <c r="A16" s="11"/>
      <c r="B16" s="6"/>
      <c r="C16" s="6"/>
      <c r="D16" s="6"/>
      <c r="E16" s="6"/>
      <c r="F16" s="6"/>
      <c r="G16" s="6"/>
      <c r="H16" s="6"/>
      <c r="I16" s="26" t="str">
        <f>CONCATENATE("Unit of Measurement"," ","-"," ","meter")</f>
        <v>Unit of Measurement - meter</v>
      </c>
      <c r="J16" s="6"/>
      <c r="K16" s="6"/>
      <c r="L16" s="6"/>
      <c r="T16" s="115" t="s">
        <v>87</v>
      </c>
      <c r="U16" s="116"/>
      <c r="V16" s="88" t="s">
        <v>91</v>
      </c>
      <c r="W16" s="88" t="s">
        <v>89</v>
      </c>
      <c r="X16" s="88" t="s">
        <v>90</v>
      </c>
      <c r="Y16" s="87" t="s">
        <v>91</v>
      </c>
      <c r="Z16" s="90" t="s">
        <v>89</v>
      </c>
      <c r="AA16" s="87" t="s">
        <v>90</v>
      </c>
      <c r="AB16" s="92" t="s">
        <v>91</v>
      </c>
      <c r="AC16" s="92" t="s">
        <v>89</v>
      </c>
      <c r="AD16" s="92" t="s">
        <v>90</v>
      </c>
    </row>
    <row r="17" spans="1:30" x14ac:dyDescent="0.25">
      <c r="A17" s="11"/>
      <c r="B17" s="6"/>
      <c r="C17" s="36" t="s">
        <v>15</v>
      </c>
      <c r="D17" s="37"/>
      <c r="E17" s="37"/>
      <c r="F17" s="38"/>
      <c r="Q17" t="s">
        <v>80</v>
      </c>
      <c r="R17" s="13" t="s">
        <v>16</v>
      </c>
      <c r="S17" s="83" t="s">
        <v>81</v>
      </c>
      <c r="T17" s="117" t="s">
        <v>88</v>
      </c>
      <c r="U17" s="118"/>
      <c r="V17" s="89" t="s">
        <v>88</v>
      </c>
      <c r="W17" s="89" t="s">
        <v>88</v>
      </c>
      <c r="X17" s="89" t="s">
        <v>88</v>
      </c>
      <c r="Y17" s="84" t="s">
        <v>88</v>
      </c>
      <c r="Z17" s="91" t="s">
        <v>88</v>
      </c>
      <c r="AA17" s="84" t="s">
        <v>88</v>
      </c>
      <c r="AB17" s="93" t="s">
        <v>88</v>
      </c>
      <c r="AC17" s="93" t="s">
        <v>88</v>
      </c>
      <c r="AD17" s="93" t="s">
        <v>88</v>
      </c>
    </row>
    <row r="18" spans="1:30" x14ac:dyDescent="0.25">
      <c r="A18" s="33"/>
      <c r="B18" s="33"/>
      <c r="C18" s="39"/>
      <c r="D18" s="41"/>
      <c r="E18" s="41"/>
      <c r="F18" s="41"/>
      <c r="G18" s="49"/>
      <c r="H18" s="54"/>
      <c r="I18" s="41"/>
      <c r="J18" s="59"/>
      <c r="K18" s="54"/>
      <c r="L18" s="61"/>
      <c r="Q18" s="79">
        <v>46.290000000037253</v>
      </c>
      <c r="R18" s="80" t="s">
        <v>79</v>
      </c>
      <c r="S18" s="82">
        <f t="shared" ref="S18" si="2">ROUND(Q18/10,2)</f>
        <v>4.63</v>
      </c>
      <c r="T18" s="82">
        <v>5.21</v>
      </c>
      <c r="U18" s="79">
        <v>521.13275146484375</v>
      </c>
      <c r="V18" s="79">
        <v>0.49032000000122933</v>
      </c>
      <c r="W18">
        <v>12.5314068603516</v>
      </c>
      <c r="X18">
        <v>7.8896002197265629</v>
      </c>
      <c r="Y18" s="79">
        <v>49.032000000122935</v>
      </c>
      <c r="Z18" s="79">
        <v>1253.1406860351562</v>
      </c>
      <c r="AA18" s="82">
        <v>788.96002197265625</v>
      </c>
      <c r="AB18" s="94">
        <f t="shared" ref="AB18" si="3">ROUND(V18,3)</f>
        <v>0.49</v>
      </c>
      <c r="AC18" s="95">
        <f t="shared" ref="AC18" si="4">ROUND(W18,3)</f>
        <v>12.531000000000001</v>
      </c>
      <c r="AD18" s="95">
        <f t="shared" ref="AD18" si="5">ROUND(X18,3)</f>
        <v>7.89</v>
      </c>
    </row>
    <row r="19" spans="1:30" x14ac:dyDescent="0.25">
      <c r="C19" s="39"/>
      <c r="D19" s="41"/>
      <c r="E19" s="41"/>
      <c r="F19" s="41"/>
      <c r="G19" s="50"/>
      <c r="H19" s="54"/>
      <c r="I19" s="41"/>
      <c r="J19" s="59"/>
      <c r="K19" s="54"/>
      <c r="L19" s="61"/>
    </row>
    <row r="20" spans="1:30" x14ac:dyDescent="0.25">
      <c r="C20" s="39"/>
      <c r="D20" s="44"/>
      <c r="E20" s="44"/>
      <c r="F20" s="44"/>
      <c r="G20" s="52"/>
      <c r="H20" s="54"/>
      <c r="I20" s="44"/>
      <c r="J20" s="59"/>
      <c r="K20" s="55"/>
    </row>
    <row r="21" spans="1:30" x14ac:dyDescent="0.25">
      <c r="C21" s="39"/>
      <c r="D21" s="44"/>
      <c r="E21" s="44"/>
      <c r="F21" s="44"/>
      <c r="G21" s="53"/>
      <c r="H21" s="54"/>
      <c r="I21" s="44"/>
      <c r="J21" s="59"/>
      <c r="K21" s="57"/>
      <c r="L21" s="61"/>
    </row>
    <row r="22" spans="1:30" x14ac:dyDescent="0.25">
      <c r="C22" s="39"/>
      <c r="D22" s="41"/>
      <c r="E22" s="41"/>
      <c r="F22" s="41"/>
      <c r="G22" s="49"/>
      <c r="H22" s="54"/>
      <c r="I22" s="41"/>
      <c r="J22" s="59"/>
      <c r="K22" s="54"/>
      <c r="L22" s="61"/>
    </row>
    <row r="23" spans="1:30" x14ac:dyDescent="0.25">
      <c r="C23" s="45">
        <v>105001</v>
      </c>
      <c r="D23" s="46">
        <v>1</v>
      </c>
      <c r="E23" s="46">
        <v>2</v>
      </c>
      <c r="F23" s="47">
        <v>1.2</v>
      </c>
      <c r="G23" s="48" t="s">
        <v>34</v>
      </c>
      <c r="H23" s="54" t="s">
        <v>28</v>
      </c>
      <c r="I23" s="46" t="s">
        <v>31</v>
      </c>
      <c r="J23" s="59">
        <v>19.50991825428839</v>
      </c>
      <c r="K23" s="58">
        <v>0.5</v>
      </c>
      <c r="L23" s="61">
        <v>1617.1289999999999</v>
      </c>
      <c r="M23">
        <v>1615.2180000000001</v>
      </c>
    </row>
    <row r="24" spans="1:30" x14ac:dyDescent="0.25">
      <c r="C24" s="113" t="s">
        <v>33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</row>
    <row r="25" spans="1:30" x14ac:dyDescent="0.25">
      <c r="C25" s="40">
        <v>103820</v>
      </c>
      <c r="D25" s="41">
        <v>2</v>
      </c>
      <c r="E25" s="41">
        <v>48</v>
      </c>
      <c r="F25" s="54" t="s">
        <v>36</v>
      </c>
      <c r="G25" s="54" t="s">
        <v>37</v>
      </c>
      <c r="I25" s="46" t="s">
        <v>31</v>
      </c>
      <c r="J25" s="59">
        <v>22.09734110214012</v>
      </c>
      <c r="K25" s="58">
        <v>3</v>
      </c>
      <c r="L25" s="61">
        <v>1636.52</v>
      </c>
      <c r="M25" s="9">
        <v>1634.192</v>
      </c>
    </row>
    <row r="26" spans="1:30" x14ac:dyDescent="0.25">
      <c r="C26" s="40">
        <v>103990</v>
      </c>
      <c r="D26" s="41">
        <v>1</v>
      </c>
      <c r="E26" s="41">
        <v>48</v>
      </c>
      <c r="F26" s="58" t="s">
        <v>36</v>
      </c>
      <c r="G26" s="58" t="s">
        <v>37</v>
      </c>
      <c r="I26" s="46" t="s">
        <v>31</v>
      </c>
      <c r="J26" s="59">
        <v>22.4370214469171</v>
      </c>
      <c r="K26" s="58">
        <v>3</v>
      </c>
      <c r="L26" s="61">
        <v>1634.3009999999999</v>
      </c>
      <c r="M26">
        <v>1631.973</v>
      </c>
    </row>
    <row r="27" spans="1:30" x14ac:dyDescent="0.25">
      <c r="C27" s="40">
        <v>104470</v>
      </c>
      <c r="D27" s="41">
        <v>1</v>
      </c>
      <c r="E27" s="41">
        <v>48</v>
      </c>
      <c r="F27" s="58" t="s">
        <v>36</v>
      </c>
      <c r="G27" s="58" t="s">
        <v>37</v>
      </c>
      <c r="I27" s="12" t="s">
        <v>31</v>
      </c>
      <c r="J27" s="59">
        <v>22.779314281069986</v>
      </c>
      <c r="K27" s="58">
        <v>3</v>
      </c>
      <c r="L27" s="61">
        <v>1630.7750000000001</v>
      </c>
      <c r="M27">
        <v>1628.4469999999999</v>
      </c>
    </row>
    <row r="253" spans="1:1" x14ac:dyDescent="0.25">
      <c r="A253">
        <v>257.33408188998828</v>
      </c>
    </row>
  </sheetData>
  <mergeCells count="5">
    <mergeCell ref="AT6:AU6"/>
    <mergeCell ref="AW6:AX6"/>
    <mergeCell ref="C24:M24"/>
    <mergeCell ref="T16:U16"/>
    <mergeCell ref="T17:U1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dd_profile.add_profile">
                <anchor moveWithCells="1" sizeWithCells="1">
                  <from>
                    <xdr:col>3</xdr:col>
                    <xdr:colOff>276225</xdr:colOff>
                    <xdr:row>1</xdr:row>
                    <xdr:rowOff>57150</xdr:rowOff>
                  </from>
                  <to>
                    <xdr:col>4</xdr:col>
                    <xdr:colOff>190500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8" tint="0.39997558519241921"/>
  </sheetPr>
  <dimension ref="A1:AX261"/>
  <sheetViews>
    <sheetView tabSelected="1" zoomScale="85" zoomScaleNormal="85" workbookViewId="0">
      <pane xSplit="6315" topLeftCell="P1" activePane="topRight"/>
      <selection activeCell="C13" sqref="C13"/>
      <selection pane="topRight" activeCell="R18" sqref="R18"/>
    </sheetView>
  </sheetViews>
  <sheetFormatPr defaultRowHeight="15" x14ac:dyDescent="0.25"/>
  <cols>
    <col min="1" max="1" width="3.42578125" customWidth="1"/>
    <col min="2" max="2" width="11.140625" customWidth="1"/>
    <col min="3" max="3" width="13.5703125" customWidth="1"/>
    <col min="4" max="4" width="18.42578125" customWidth="1"/>
    <col min="5" max="5" width="9.5703125" customWidth="1"/>
    <col min="6" max="6" width="10.7109375" customWidth="1"/>
    <col min="7" max="9" width="17.140625" customWidth="1"/>
    <col min="10" max="10" width="15.140625" customWidth="1"/>
    <col min="12" max="12" width="8.85546875" customWidth="1"/>
    <col min="13" max="13" width="9" customWidth="1"/>
    <col min="14" max="14" width="14.28515625" bestFit="1" customWidth="1"/>
    <col min="18" max="18" width="13.28515625" customWidth="1"/>
    <col min="19" max="19" width="8.7109375" customWidth="1"/>
    <col min="20" max="20" width="11" customWidth="1"/>
    <col min="21" max="21" width="11.7109375" customWidth="1"/>
    <col min="22" max="22" width="9.140625" customWidth="1"/>
    <col min="23" max="23" width="12.7109375" customWidth="1"/>
    <col min="24" max="24" width="11.85546875" customWidth="1"/>
    <col min="25" max="25" width="13.28515625" customWidth="1"/>
    <col min="26" max="26" width="14" customWidth="1"/>
    <col min="50" max="50" width="12.42578125" bestFit="1" customWidth="1"/>
  </cols>
  <sheetData>
    <row r="1" spans="1:50" ht="15" customHeight="1" x14ac:dyDescent="0.25">
      <c r="A1" s="1" t="s">
        <v>60</v>
      </c>
      <c r="B1" s="2" t="str">
        <f ca="1">CHAR(RANDBETWEEN(67,90))&amp;CHAR(RANDBETWEEN(67,90))&amp;CHAR(RANDBETWEEN(67,90))&amp;CHAR(RANDBETWEEN(67,90))&amp;CHAR(RANDBETWEEN(67,90))&amp;CHAR(RANDBETWEEN(67,90))&amp;CHAR(RANDBETWEEN(67,90))&amp;CHAR(RANDBETWEEN(67,90))</f>
        <v>DVXVLYFJ</v>
      </c>
      <c r="C1" s="2" t="s">
        <v>86</v>
      </c>
      <c r="D1" s="70"/>
      <c r="E1" s="70"/>
      <c r="F1" s="70"/>
      <c r="G1" s="70"/>
      <c r="H1" s="24"/>
      <c r="I1" s="24"/>
      <c r="J1" s="2"/>
      <c r="K1" s="2"/>
      <c r="L1" s="5"/>
    </row>
    <row r="2" spans="1:50" x14ac:dyDescent="0.25">
      <c r="A2" s="7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P2" s="9"/>
      <c r="R2" s="134">
        <v>0.02</v>
      </c>
    </row>
    <row r="3" spans="1:50" x14ac:dyDescent="0.25">
      <c r="A3" s="8"/>
      <c r="B3" t="str">
        <f>CONCATENATE(N3,S3)</f>
        <v>Chainage--------------- 11+903.02</v>
      </c>
      <c r="D3" s="6"/>
      <c r="E3" s="6"/>
      <c r="F3" s="32" t="s">
        <v>11</v>
      </c>
      <c r="G3" s="6"/>
      <c r="H3" s="6"/>
      <c r="I3" s="6"/>
      <c r="J3" s="6" t="str">
        <f>IF(L2="R","Right","Left")</f>
        <v>Left</v>
      </c>
      <c r="K3" s="6"/>
      <c r="L3" s="6"/>
      <c r="N3" t="s">
        <v>123</v>
      </c>
      <c r="P3" s="9"/>
      <c r="R3" t="s">
        <v>122</v>
      </c>
      <c r="S3" t="s">
        <v>201</v>
      </c>
      <c r="U3" t="s">
        <v>69</v>
      </c>
    </row>
    <row r="4" spans="1:50" x14ac:dyDescent="0.25">
      <c r="A4" s="6"/>
      <c r="B4" t="str">
        <f t="shared" ref="B4:B12" si="0">CONCATENATE(N4,S4)</f>
        <v>Structure Type----------- RCP</v>
      </c>
      <c r="D4" s="6"/>
      <c r="E4" s="23"/>
      <c r="F4" s="26" t="e">
        <f>CONCATENATE("Chainage"," ","-"," ",TEXT(C18,"0+000"))</f>
        <v>#REF!</v>
      </c>
      <c r="G4" s="6"/>
      <c r="H4" s="6"/>
      <c r="I4" s="6"/>
      <c r="J4" s="6"/>
      <c r="K4" s="6"/>
      <c r="L4" s="6"/>
      <c r="N4" t="s">
        <v>124</v>
      </c>
      <c r="P4" s="9"/>
      <c r="R4" t="s">
        <v>116</v>
      </c>
      <c r="S4" s="105" t="s">
        <v>155</v>
      </c>
      <c r="T4" s="78" t="s">
        <v>68</v>
      </c>
      <c r="U4" t="s">
        <v>70</v>
      </c>
    </row>
    <row r="5" spans="1:50" x14ac:dyDescent="0.25">
      <c r="A5" s="6"/>
      <c r="B5" t="str">
        <f t="shared" si="0"/>
        <v>Culvert Size------------------ 1 ∅1.22 mm</v>
      </c>
      <c r="D5" s="6"/>
      <c r="E5" s="23"/>
      <c r="F5" s="26" t="str">
        <f>CONCATENATE("Name"," ","-"," ","Slab Culvert @",H19)</f>
        <v>Name - Slab Culvert @</v>
      </c>
      <c r="G5" s="6"/>
      <c r="H5" s="6"/>
      <c r="I5" s="32" t="s">
        <v>13</v>
      </c>
      <c r="J5" s="21"/>
      <c r="K5" s="6"/>
      <c r="L5" s="6"/>
      <c r="N5" t="s">
        <v>125</v>
      </c>
      <c r="P5" s="9"/>
      <c r="R5" t="s">
        <v>117</v>
      </c>
      <c r="S5" s="105" t="s">
        <v>136</v>
      </c>
      <c r="T5" s="72"/>
    </row>
    <row r="6" spans="1:50" x14ac:dyDescent="0.25">
      <c r="A6" s="6"/>
      <c r="B6" t="str">
        <f>CONCATENATE(N6,S6," m")</f>
        <v>Invert Level---------------- 2553.2025 m</v>
      </c>
      <c r="D6" s="6"/>
      <c r="E6" s="23"/>
      <c r="F6" s="26" t="str">
        <f>CONCATENATE("No of Cell"," ","-"," ",[2]SLB_CU!$F$6)</f>
        <v>No of Cell - One</v>
      </c>
      <c r="G6" s="6"/>
      <c r="H6" s="6"/>
      <c r="I6" s="26" t="e">
        <f>CONCATENATE("Chainage"," ","-"," ",TEXT(C18,"0+000"))</f>
        <v>#REF!</v>
      </c>
      <c r="J6" s="27"/>
      <c r="K6" s="6"/>
      <c r="L6" s="6"/>
      <c r="N6" t="s">
        <v>126</v>
      </c>
      <c r="P6" s="9"/>
      <c r="Q6" s="9"/>
      <c r="R6" s="9" t="s">
        <v>133</v>
      </c>
      <c r="S6" s="122">
        <v>2553.2025000000003</v>
      </c>
      <c r="T6" s="73" t="s">
        <v>67</v>
      </c>
      <c r="AT6" s="112"/>
      <c r="AU6" s="112"/>
      <c r="AW6" s="112"/>
      <c r="AX6" s="112"/>
    </row>
    <row r="7" spans="1:50" x14ac:dyDescent="0.25">
      <c r="A7" s="6"/>
      <c r="B7" t="str">
        <f t="shared" si="0"/>
        <v>Flow Direction-------------------- R</v>
      </c>
      <c r="D7" s="6"/>
      <c r="E7" s="6"/>
      <c r="F7" s="26" t="str">
        <f>CONCATENATE("Clear Span"," ","-"," ",E19,"m")</f>
        <v>Clear Span - 48m</v>
      </c>
      <c r="G7" s="6"/>
      <c r="H7" s="6"/>
      <c r="I7" s="26" t="str">
        <f>CONCATENATE("Structure"," ","-"," ","Pipe Culvert")</f>
        <v>Structure - Pipe Culvert</v>
      </c>
      <c r="J7" s="28"/>
      <c r="K7" s="6"/>
      <c r="L7" s="6"/>
      <c r="N7" t="s">
        <v>127</v>
      </c>
      <c r="P7" s="9"/>
      <c r="Q7" s="9"/>
      <c r="R7" s="9" t="s">
        <v>118</v>
      </c>
      <c r="S7" s="127" t="s">
        <v>31</v>
      </c>
      <c r="T7" s="74" t="s">
        <v>67</v>
      </c>
      <c r="AT7" s="13"/>
      <c r="AU7" s="13"/>
      <c r="AW7" s="13"/>
      <c r="AX7" s="14"/>
    </row>
    <row r="8" spans="1:50" x14ac:dyDescent="0.25">
      <c r="A8" s="6"/>
      <c r="B8" t="str">
        <f>CONCATENATE(N8,TEXT(S8,"0%"))</f>
        <v>Invert Slope----------------------- 4%</v>
      </c>
      <c r="D8" s="6"/>
      <c r="E8" s="6"/>
      <c r="F8" s="26" t="str">
        <f>CONCATENATE("Clear Height"," ","-"," ",F19,"m")</f>
        <v>Clear Height - Type A Inletm</v>
      </c>
      <c r="G8" s="6"/>
      <c r="H8" s="6"/>
      <c r="I8" s="26" t="str">
        <f>CONCATENATE("Diameter"," ","-"," ","Ø",[2]main!$B$4/1000,"*",1)</f>
        <v>Diameter - Ø1.22*1</v>
      </c>
      <c r="J8" s="28"/>
      <c r="K8" s="6"/>
      <c r="L8" s="6"/>
      <c r="N8" t="s">
        <v>128</v>
      </c>
      <c r="R8" t="s">
        <v>21</v>
      </c>
      <c r="S8" s="128">
        <v>0.04</v>
      </c>
      <c r="T8" s="74" t="s">
        <v>67</v>
      </c>
      <c r="AT8" s="13"/>
      <c r="AU8" s="13"/>
      <c r="AW8" s="14"/>
      <c r="AX8" s="15"/>
    </row>
    <row r="9" spans="1:50" x14ac:dyDescent="0.25">
      <c r="A9" s="6"/>
      <c r="B9" t="str">
        <f>CONCATENATE(N9,S9,"m")</f>
        <v>Culvert Length------------------ 16.65m</v>
      </c>
      <c r="D9" s="6"/>
      <c r="E9" s="6"/>
      <c r="F9" s="26" t="str">
        <f>CONCATENATE("Skew Angle"," ","-"," ",G19,"°")</f>
        <v>Skew Angle - Type C °</v>
      </c>
      <c r="G9" s="6"/>
      <c r="H9" s="6"/>
      <c r="I9" s="26" t="str">
        <f>CONCATENATE("Skew Angle"," ","-"," ",0,"°")</f>
        <v>Skew Angle - 0°</v>
      </c>
      <c r="J9" s="29"/>
      <c r="K9" s="6"/>
      <c r="L9" s="6"/>
      <c r="N9" t="s">
        <v>129</v>
      </c>
      <c r="R9" t="s">
        <v>119</v>
      </c>
      <c r="S9" s="131">
        <v>16.649999999999999</v>
      </c>
      <c r="T9" s="74" t="s">
        <v>67</v>
      </c>
      <c r="AT9" s="13"/>
      <c r="AU9" s="13"/>
      <c r="AW9" s="14"/>
      <c r="AX9" s="15"/>
    </row>
    <row r="10" spans="1:50" x14ac:dyDescent="0.25">
      <c r="A10" s="6"/>
      <c r="B10" t="str">
        <f t="shared" si="0"/>
        <v>LHS End Structure------------------- Type A inlet</v>
      </c>
      <c r="D10" s="6"/>
      <c r="E10" s="6"/>
      <c r="F10" s="26" t="str">
        <f>CONCATENATE("Slab length"," ","-"," ",TEXT(J19,"0.00"),"m")</f>
        <v>Slab length - 22.78m</v>
      </c>
      <c r="G10" s="25"/>
      <c r="H10" s="25"/>
      <c r="I10" s="26" t="str">
        <f>CONCATENATE("Pipe length"," ","-"," ",TEXT(J19,"0.00"),"m")</f>
        <v>Pipe length - 22.78m</v>
      </c>
      <c r="J10" s="29"/>
      <c r="K10" s="6"/>
      <c r="L10" s="6"/>
      <c r="N10" t="s">
        <v>130</v>
      </c>
      <c r="R10" t="s">
        <v>66</v>
      </c>
      <c r="S10" s="110" t="s">
        <v>151</v>
      </c>
      <c r="AT10" s="13"/>
      <c r="AU10" s="13"/>
      <c r="AW10" s="14"/>
      <c r="AX10" s="15"/>
    </row>
    <row r="11" spans="1:50" x14ac:dyDescent="0.25">
      <c r="A11" s="6"/>
      <c r="B11" t="str">
        <f t="shared" si="0"/>
        <v>RHS End Structure------------------ Type C</v>
      </c>
      <c r="D11" s="6"/>
      <c r="E11" s="6"/>
      <c r="F11" s="26" t="str">
        <f>CONCATENATE("Invert Slope"," ","="," ",ABS(K19),"%"," to the ",IF(I19="R","Right","Left"))</f>
        <v>Invert Slope = 3% to the Right</v>
      </c>
      <c r="G11" s="6"/>
      <c r="H11" s="6"/>
      <c r="I11" s="26" t="str">
        <f>CONCATENATE("Slope"," ","="," ",ABS(3),"%"," to the ",IF(I19="R","Right","Left"))</f>
        <v>Slope = 3% to the Right</v>
      </c>
      <c r="J11" s="29"/>
      <c r="K11" s="6"/>
      <c r="L11" s="6"/>
      <c r="N11" t="s">
        <v>131</v>
      </c>
      <c r="R11" t="s">
        <v>120</v>
      </c>
      <c r="S11" t="s">
        <v>146</v>
      </c>
      <c r="AT11" s="13"/>
      <c r="AU11" s="13"/>
      <c r="AW11" s="14"/>
      <c r="AX11" s="15"/>
    </row>
    <row r="12" spans="1:50" x14ac:dyDescent="0.25">
      <c r="A12" s="6"/>
      <c r="B12" t="str">
        <f t="shared" si="0"/>
        <v>Skew Ang-------------------- 0</v>
      </c>
      <c r="D12" s="6"/>
      <c r="E12" s="6"/>
      <c r="F12" s="26" t="str">
        <f>CONCATENATE("Design Elevation"," ","="," ",TEXT(L19,"0.0000"))</f>
        <v>Design Elevation = 1630.7750</v>
      </c>
      <c r="G12" s="6"/>
      <c r="H12" s="6"/>
      <c r="I12" s="26" t="str">
        <f>CONCATENATE("Design Elevation"," ","="," ",TEXT(L19,"0.0000"))</f>
        <v>Design Elevation = 1630.7750</v>
      </c>
      <c r="J12" s="29"/>
      <c r="K12" s="6"/>
      <c r="L12" s="6"/>
      <c r="N12" t="s">
        <v>132</v>
      </c>
      <c r="R12" t="s">
        <v>121</v>
      </c>
      <c r="S12" s="108">
        <v>0</v>
      </c>
      <c r="AT12" s="13"/>
      <c r="AU12" s="13"/>
      <c r="AW12" s="14"/>
      <c r="AX12" s="15"/>
    </row>
    <row r="13" spans="1:50" x14ac:dyDescent="0.25">
      <c r="A13" s="6"/>
      <c r="D13" s="6"/>
      <c r="E13" s="6"/>
      <c r="F13" s="30" t="str">
        <f>CONCATENATE("Invert Elevation"," ","="," ",TEXT(M19,"0.0000"))</f>
        <v>Invert Elevation = 1628.4470</v>
      </c>
      <c r="G13" s="6"/>
      <c r="H13" s="6"/>
      <c r="I13" s="26" t="str">
        <f>CONCATENATE("Invert Elev@ Inlet"," ","="," ",TEXT(N19,"0.0000"))</f>
        <v>Invert Elev@ Inlet = 1628.7120</v>
      </c>
      <c r="J13" s="29"/>
      <c r="K13" s="6"/>
      <c r="L13" s="6"/>
      <c r="R13" s="72" t="s">
        <v>93</v>
      </c>
      <c r="S13" s="108" t="s">
        <v>115</v>
      </c>
    </row>
    <row r="14" spans="1:50" x14ac:dyDescent="0.25">
      <c r="A14" s="6"/>
      <c r="D14" s="6"/>
      <c r="E14" s="6"/>
      <c r="F14" s="6"/>
      <c r="G14" s="6"/>
      <c r="H14" s="6"/>
      <c r="I14" s="26" t="str">
        <f>CONCATENATE("Invert Elev@ Center"," ","="," ",TEXT(M19,"0.0000"))</f>
        <v>Invert Elev@ Center = 1628.4470</v>
      </c>
      <c r="J14" s="29"/>
      <c r="K14" s="6"/>
      <c r="L14" s="6"/>
      <c r="V14">
        <v>1000</v>
      </c>
    </row>
    <row r="15" spans="1:50" x14ac:dyDescent="0.25">
      <c r="A15" s="11"/>
      <c r="B15" s="30"/>
      <c r="C15" s="6"/>
      <c r="D15" s="6"/>
      <c r="E15" s="6"/>
      <c r="F15" s="6"/>
      <c r="G15" s="6"/>
      <c r="H15" s="6"/>
      <c r="I15" s="26" t="str">
        <f>CONCATENATE("Invert Elev@ Outlet"," ","="," ",TEXT(O19,"0.0000"))</f>
        <v>Invert Elev@ Outlet = 1628.0290</v>
      </c>
      <c r="J15" s="22"/>
      <c r="K15" s="6"/>
      <c r="L15" s="6"/>
    </row>
    <row r="16" spans="1:50" x14ac:dyDescent="0.25">
      <c r="A16" s="11"/>
      <c r="B16" s="6"/>
      <c r="C16" s="6"/>
      <c r="D16" s="6"/>
      <c r="E16" s="6"/>
      <c r="F16" s="6"/>
      <c r="G16" s="6"/>
      <c r="H16" s="6"/>
      <c r="I16" s="26" t="str">
        <f>CONCATENATE("Unit of Measurement"," ","-"," ","meter")</f>
        <v>Unit of Measurement - meter</v>
      </c>
      <c r="J16" s="6"/>
      <c r="K16" s="6"/>
      <c r="L16" s="6"/>
      <c r="Q16" s="119" t="s">
        <v>114</v>
      </c>
      <c r="R16" s="119"/>
      <c r="S16" s="13" t="s">
        <v>116</v>
      </c>
      <c r="T16" s="13" t="s">
        <v>117</v>
      </c>
      <c r="U16" s="120" t="s">
        <v>134</v>
      </c>
      <c r="V16" s="120" t="s">
        <v>118</v>
      </c>
      <c r="W16" s="13" t="s">
        <v>21</v>
      </c>
      <c r="X16" s="13" t="s">
        <v>119</v>
      </c>
      <c r="Y16" s="13" t="s">
        <v>66</v>
      </c>
      <c r="Z16" s="13" t="s">
        <v>120</v>
      </c>
    </row>
    <row r="17" spans="1:41" x14ac:dyDescent="0.25">
      <c r="A17" s="11"/>
      <c r="B17" s="6" t="s">
        <v>94</v>
      </c>
      <c r="C17" t="s">
        <v>95</v>
      </c>
      <c r="D17" t="s">
        <v>96</v>
      </c>
      <c r="E17" s="37"/>
      <c r="F17" s="38"/>
      <c r="Q17" s="106" t="s">
        <v>41</v>
      </c>
      <c r="R17" s="121" t="s">
        <v>16</v>
      </c>
      <c r="T17" s="132"/>
      <c r="U17" s="132"/>
      <c r="V17" s="132"/>
      <c r="W17" s="132"/>
      <c r="X17" s="132"/>
      <c r="Y17" s="132"/>
      <c r="Z17" s="133"/>
    </row>
    <row r="18" spans="1:41" x14ac:dyDescent="0.25">
      <c r="A18" s="11"/>
      <c r="B18" s="82" t="e">
        <f>#REF!+0.1</f>
        <v>#REF!</v>
      </c>
      <c r="C18" t="e">
        <f>#REF!+0.1</f>
        <v>#REF!</v>
      </c>
      <c r="D18" t="e">
        <f>#REF!+0.1</f>
        <v>#REF!</v>
      </c>
      <c r="E18" s="13" t="s">
        <v>35</v>
      </c>
      <c r="F18" s="13" t="s">
        <v>18</v>
      </c>
      <c r="G18" s="13" t="s">
        <v>19</v>
      </c>
      <c r="H18" s="13" t="s">
        <v>26</v>
      </c>
      <c r="I18" s="13" t="s">
        <v>30</v>
      </c>
      <c r="J18" s="13" t="s">
        <v>20</v>
      </c>
      <c r="K18" s="13" t="s">
        <v>21</v>
      </c>
      <c r="L18" s="13" t="s">
        <v>22</v>
      </c>
      <c r="M18" s="13" t="s">
        <v>23</v>
      </c>
      <c r="N18" s="13" t="s">
        <v>39</v>
      </c>
      <c r="O18" s="13" t="s">
        <v>40</v>
      </c>
      <c r="Q18" s="107" t="s">
        <v>41</v>
      </c>
      <c r="Z18" s="110"/>
      <c r="AG18" t="s">
        <v>157</v>
      </c>
      <c r="AH18" s="87" t="s">
        <v>155</v>
      </c>
      <c r="AI18" s="87" t="s">
        <v>135</v>
      </c>
      <c r="AJ18" s="122">
        <v>2155.7800000000002</v>
      </c>
      <c r="AK18" s="123" t="s">
        <v>31</v>
      </c>
      <c r="AL18" s="128">
        <v>0.02</v>
      </c>
      <c r="AM18" s="129">
        <v>12.7</v>
      </c>
      <c r="AN18" t="s">
        <v>146</v>
      </c>
      <c r="AO18" t="s">
        <v>146</v>
      </c>
    </row>
    <row r="19" spans="1:41" x14ac:dyDescent="0.25">
      <c r="B19" s="82" t="e">
        <f>#REF!+0.1</f>
        <v>#REF!</v>
      </c>
      <c r="C19" t="e">
        <f>#REF!+0.1</f>
        <v>#REF!</v>
      </c>
      <c r="D19" t="e">
        <f>#REF!+0.1</f>
        <v>#REF!</v>
      </c>
      <c r="E19" s="41">
        <v>48</v>
      </c>
      <c r="F19" s="58" t="s">
        <v>36</v>
      </c>
      <c r="G19" s="58" t="s">
        <v>37</v>
      </c>
      <c r="I19" s="71" t="s">
        <v>31</v>
      </c>
      <c r="J19" s="59">
        <v>22.779314281069986</v>
      </c>
      <c r="K19" s="58">
        <v>3</v>
      </c>
      <c r="L19" s="61">
        <v>1630.7750000000001</v>
      </c>
      <c r="M19">
        <v>1628.4469999999999</v>
      </c>
      <c r="N19">
        <v>1628.712</v>
      </c>
      <c r="O19">
        <v>1628.029</v>
      </c>
      <c r="Z19" s="110"/>
      <c r="AG19" t="s">
        <v>158</v>
      </c>
      <c r="AH19" s="104" t="s">
        <v>155</v>
      </c>
      <c r="AI19" s="104" t="s">
        <v>136</v>
      </c>
      <c r="AJ19" s="122">
        <v>2150.7999999999997</v>
      </c>
      <c r="AK19" s="123" t="s">
        <v>31</v>
      </c>
      <c r="AL19" s="128">
        <v>0.03</v>
      </c>
      <c r="AM19" s="130">
        <v>12.91</v>
      </c>
      <c r="AN19" t="s">
        <v>146</v>
      </c>
      <c r="AO19" t="s">
        <v>151</v>
      </c>
    </row>
    <row r="20" spans="1:41" x14ac:dyDescent="0.25">
      <c r="B20" s="82" t="e">
        <f>#REF!+0.1</f>
        <v>#REF!</v>
      </c>
      <c r="C20" t="e">
        <f>#REF!+0.1</f>
        <v>#REF!</v>
      </c>
      <c r="D20" t="e">
        <f>#REF!+0.1</f>
        <v>#REF!</v>
      </c>
      <c r="E20" s="41">
        <v>48</v>
      </c>
      <c r="F20" s="58" t="s">
        <v>36</v>
      </c>
      <c r="G20" s="58" t="s">
        <v>37</v>
      </c>
      <c r="I20" s="46" t="s">
        <v>31</v>
      </c>
      <c r="J20" s="59">
        <v>22.4370214469171</v>
      </c>
      <c r="K20" s="58">
        <v>3</v>
      </c>
      <c r="L20" s="61">
        <v>1634.3009999999999</v>
      </c>
      <c r="M20">
        <v>1631.973</v>
      </c>
      <c r="N20">
        <v>1632.2380000000001</v>
      </c>
      <c r="O20">
        <v>1631.5650000000001</v>
      </c>
      <c r="Z20" s="110"/>
      <c r="AG20" t="s">
        <v>159</v>
      </c>
      <c r="AH20" s="104" t="s">
        <v>155</v>
      </c>
      <c r="AI20" s="104" t="s">
        <v>136</v>
      </c>
      <c r="AJ20" s="122">
        <v>2151.52</v>
      </c>
      <c r="AK20" s="123" t="s">
        <v>31</v>
      </c>
      <c r="AL20" s="128">
        <v>0.03</v>
      </c>
      <c r="AM20" s="130">
        <v>13.22</v>
      </c>
      <c r="AN20" t="s">
        <v>146</v>
      </c>
      <c r="AO20" t="s">
        <v>151</v>
      </c>
    </row>
    <row r="21" spans="1:41" x14ac:dyDescent="0.25">
      <c r="B21" s="98" t="e">
        <f>#REF!+0.1</f>
        <v>#REF!</v>
      </c>
      <c r="C21" t="e">
        <f>#REF!+0.1</f>
        <v>#REF!</v>
      </c>
      <c r="D21" t="e">
        <f>#REF!+0.1</f>
        <v>#REF!</v>
      </c>
      <c r="E21" s="41">
        <v>48</v>
      </c>
      <c r="F21" s="58" t="s">
        <v>36</v>
      </c>
      <c r="G21" s="58" t="s">
        <v>37</v>
      </c>
      <c r="I21" s="71" t="s">
        <v>31</v>
      </c>
      <c r="J21" s="59">
        <v>22.779314281069986</v>
      </c>
      <c r="K21" s="58">
        <v>3</v>
      </c>
      <c r="L21" s="61">
        <v>1630.7750000000001</v>
      </c>
      <c r="M21">
        <v>1628.4469999999999</v>
      </c>
      <c r="N21">
        <v>1628.712</v>
      </c>
      <c r="O21">
        <v>1628.029</v>
      </c>
      <c r="Z21" s="110"/>
      <c r="AG21" t="s">
        <v>160</v>
      </c>
      <c r="AH21" s="104" t="s">
        <v>156</v>
      </c>
      <c r="AI21" s="104" t="s">
        <v>137</v>
      </c>
      <c r="AJ21" s="122">
        <v>2140.2269999999999</v>
      </c>
      <c r="AK21" s="124" t="s">
        <v>31</v>
      </c>
      <c r="AL21" s="128">
        <v>0.04</v>
      </c>
      <c r="AM21" s="130">
        <v>12.65</v>
      </c>
      <c r="AN21" t="s">
        <v>147</v>
      </c>
      <c r="AO21" t="s">
        <v>147</v>
      </c>
    </row>
    <row r="22" spans="1:41" x14ac:dyDescent="0.25">
      <c r="A22" s="11"/>
      <c r="B22" s="98" t="e">
        <f>#REF!+0.1</f>
        <v>#REF!</v>
      </c>
      <c r="C22" t="e">
        <f>#REF!+0.1</f>
        <v>#REF!</v>
      </c>
      <c r="D22" t="e">
        <f>#REF!+0.1</f>
        <v>#REF!</v>
      </c>
      <c r="E22" s="41"/>
      <c r="F22" s="41"/>
      <c r="G22" s="50"/>
      <c r="H22" s="54"/>
      <c r="I22" s="41"/>
      <c r="J22" s="59"/>
      <c r="K22" s="54"/>
      <c r="Z22" s="110"/>
      <c r="AG22" t="s">
        <v>161</v>
      </c>
      <c r="AH22" s="104" t="s">
        <v>155</v>
      </c>
      <c r="AI22" s="104" t="s">
        <v>136</v>
      </c>
      <c r="AJ22" s="122">
        <v>2140.4100000000003</v>
      </c>
      <c r="AK22" s="125" t="s">
        <v>144</v>
      </c>
      <c r="AL22" s="128">
        <v>0.03</v>
      </c>
      <c r="AM22" s="130">
        <v>15.5</v>
      </c>
      <c r="AN22" t="s">
        <v>146</v>
      </c>
      <c r="AO22" t="s">
        <v>151</v>
      </c>
    </row>
    <row r="23" spans="1:41" x14ac:dyDescent="0.25">
      <c r="A23" s="11"/>
      <c r="B23" s="98" t="e">
        <f>#REF!+0.1</f>
        <v>#REF!</v>
      </c>
      <c r="C23" t="e">
        <f>#REF!+0.1</f>
        <v>#REF!</v>
      </c>
      <c r="D23" t="e">
        <f>#REF!+0.1</f>
        <v>#REF!</v>
      </c>
      <c r="E23" s="41"/>
      <c r="F23" s="41"/>
      <c r="G23" s="49"/>
      <c r="H23" s="54"/>
      <c r="I23" s="41"/>
      <c r="J23" s="59"/>
      <c r="K23" s="54"/>
      <c r="L23" s="61"/>
      <c r="Z23" s="110"/>
      <c r="AG23" t="s">
        <v>162</v>
      </c>
      <c r="AH23" s="104" t="s">
        <v>155</v>
      </c>
      <c r="AI23" s="104" t="s">
        <v>136</v>
      </c>
      <c r="AJ23" s="122">
        <v>2142.9750000000004</v>
      </c>
      <c r="AK23" s="126" t="s">
        <v>144</v>
      </c>
      <c r="AL23" s="128">
        <v>0.03</v>
      </c>
      <c r="AM23" s="130">
        <v>11.02</v>
      </c>
      <c r="AN23" t="s">
        <v>146</v>
      </c>
      <c r="AO23" t="s">
        <v>151</v>
      </c>
    </row>
    <row r="24" spans="1:41" x14ac:dyDescent="0.25">
      <c r="A24" s="11"/>
      <c r="B24" s="99" t="e">
        <f>#REF!+0.1</f>
        <v>#REF!</v>
      </c>
      <c r="C24" t="e">
        <f>#REF!+0.1</f>
        <v>#REF!</v>
      </c>
      <c r="D24" t="e">
        <f>#REF!+0.1</f>
        <v>#REF!</v>
      </c>
      <c r="E24" s="41"/>
      <c r="F24" s="41"/>
      <c r="G24" s="49"/>
      <c r="H24" s="54"/>
      <c r="I24" s="41"/>
      <c r="J24" s="59"/>
      <c r="K24" s="54"/>
      <c r="L24" s="61"/>
      <c r="Z24" s="110"/>
      <c r="AG24" t="s">
        <v>163</v>
      </c>
      <c r="AH24" s="104" t="s">
        <v>155</v>
      </c>
      <c r="AI24" s="104" t="s">
        <v>136</v>
      </c>
      <c r="AJ24" s="122">
        <v>2144.7400000000002</v>
      </c>
      <c r="AK24" s="126" t="s">
        <v>31</v>
      </c>
      <c r="AL24" s="128">
        <v>0.08</v>
      </c>
      <c r="AM24" s="130">
        <v>12.79</v>
      </c>
      <c r="AN24" t="s">
        <v>148</v>
      </c>
      <c r="AO24" t="s">
        <v>151</v>
      </c>
    </row>
    <row r="25" spans="1:41" x14ac:dyDescent="0.25">
      <c r="A25" s="11"/>
      <c r="B25" s="100" t="e">
        <f>#REF!+0.1</f>
        <v>#REF!</v>
      </c>
      <c r="C25" t="e">
        <f>#REF!+0.1</f>
        <v>#REF!</v>
      </c>
      <c r="D25" t="e">
        <f>#REF!+0.1</f>
        <v>#REF!</v>
      </c>
      <c r="E25" s="43"/>
      <c r="F25" s="43"/>
      <c r="G25" s="51"/>
      <c r="H25" s="54"/>
      <c r="I25" s="43"/>
      <c r="J25" s="59"/>
      <c r="K25" s="56"/>
      <c r="L25" s="61"/>
      <c r="Z25" s="110"/>
      <c r="AG25" t="s">
        <v>164</v>
      </c>
      <c r="AH25" s="104" t="s">
        <v>155</v>
      </c>
      <c r="AI25" s="104" t="s">
        <v>136</v>
      </c>
      <c r="AJ25" s="122">
        <v>2163.7200000000003</v>
      </c>
      <c r="AK25" s="126" t="s">
        <v>31</v>
      </c>
      <c r="AL25" s="128">
        <v>0.04</v>
      </c>
      <c r="AM25" s="130">
        <v>14.48</v>
      </c>
      <c r="AN25" t="s">
        <v>146</v>
      </c>
      <c r="AO25" t="s">
        <v>151</v>
      </c>
    </row>
    <row r="26" spans="1:41" x14ac:dyDescent="0.25">
      <c r="A26" s="33"/>
      <c r="B26" s="100" t="e">
        <f>#REF!+0.1</f>
        <v>#REF!</v>
      </c>
      <c r="C26" t="e">
        <f>#REF!+0.1</f>
        <v>#REF!</v>
      </c>
      <c r="D26" t="e">
        <f>#REF!+0.1</f>
        <v>#REF!</v>
      </c>
      <c r="E26" s="41"/>
      <c r="F26" s="41"/>
      <c r="G26" s="49"/>
      <c r="H26" s="54"/>
      <c r="I26" s="41"/>
      <c r="J26" s="59"/>
      <c r="K26" s="54"/>
      <c r="L26" s="61"/>
      <c r="Z26" s="111"/>
      <c r="AG26" t="s">
        <v>165</v>
      </c>
      <c r="AH26" s="104" t="s">
        <v>155</v>
      </c>
      <c r="AI26" s="104" t="s">
        <v>136</v>
      </c>
      <c r="AJ26" s="122">
        <v>2162.9900000000002</v>
      </c>
      <c r="AK26" s="126" t="s">
        <v>31</v>
      </c>
      <c r="AL26" s="128">
        <v>0.04</v>
      </c>
      <c r="AM26" s="130">
        <v>13.33</v>
      </c>
      <c r="AN26" t="s">
        <v>146</v>
      </c>
      <c r="AO26" t="s">
        <v>151</v>
      </c>
    </row>
    <row r="27" spans="1:41" x14ac:dyDescent="0.25">
      <c r="C27" s="39"/>
      <c r="D27" s="41"/>
      <c r="E27" s="41"/>
      <c r="F27" s="41"/>
      <c r="G27" s="50"/>
      <c r="H27" s="54"/>
      <c r="I27" s="41"/>
      <c r="J27" s="59"/>
      <c r="K27" s="54"/>
      <c r="L27" s="61"/>
      <c r="AG27" t="s">
        <v>166</v>
      </c>
      <c r="AH27" s="104" t="s">
        <v>155</v>
      </c>
      <c r="AI27" s="104" t="s">
        <v>136</v>
      </c>
      <c r="AJ27" s="122">
        <v>2134.7999999999997</v>
      </c>
      <c r="AK27" s="126" t="s">
        <v>31</v>
      </c>
      <c r="AL27" s="128">
        <v>0.03</v>
      </c>
      <c r="AM27" s="130">
        <v>10.75</v>
      </c>
      <c r="AN27" t="s">
        <v>146</v>
      </c>
      <c r="AO27" t="s">
        <v>151</v>
      </c>
    </row>
    <row r="28" spans="1:41" x14ac:dyDescent="0.25">
      <c r="C28" s="39"/>
      <c r="D28" s="44"/>
      <c r="E28" s="44"/>
      <c r="F28" s="44"/>
      <c r="G28" s="52"/>
      <c r="H28" s="54"/>
      <c r="I28" s="44"/>
      <c r="J28" s="59"/>
      <c r="K28" s="55"/>
      <c r="AG28" t="s">
        <v>167</v>
      </c>
      <c r="AH28" s="104" t="s">
        <v>155</v>
      </c>
      <c r="AI28" s="104" t="s">
        <v>136</v>
      </c>
      <c r="AJ28" s="122">
        <v>2134.1219999999998</v>
      </c>
      <c r="AK28" s="126" t="s">
        <v>31</v>
      </c>
      <c r="AL28" s="128">
        <v>0.03</v>
      </c>
      <c r="AM28" s="130">
        <v>12.55</v>
      </c>
      <c r="AN28" t="s">
        <v>146</v>
      </c>
      <c r="AO28" t="s">
        <v>151</v>
      </c>
    </row>
    <row r="29" spans="1:41" x14ac:dyDescent="0.25">
      <c r="C29" s="39"/>
      <c r="D29" s="44"/>
      <c r="E29" s="44"/>
      <c r="F29" s="44"/>
      <c r="G29" s="53"/>
      <c r="H29" s="54"/>
      <c r="I29" s="44"/>
      <c r="J29" s="59"/>
      <c r="K29" s="57"/>
      <c r="L29" s="61"/>
      <c r="AG29" t="s">
        <v>168</v>
      </c>
      <c r="AH29" s="104" t="s">
        <v>155</v>
      </c>
      <c r="AI29" s="104" t="s">
        <v>136</v>
      </c>
      <c r="AJ29" s="122">
        <v>2168.241</v>
      </c>
      <c r="AK29" s="126" t="s">
        <v>31</v>
      </c>
      <c r="AL29" s="128">
        <v>0.04</v>
      </c>
      <c r="AM29" s="130">
        <v>12.84</v>
      </c>
      <c r="AN29" t="s">
        <v>146</v>
      </c>
      <c r="AO29" t="s">
        <v>146</v>
      </c>
    </row>
    <row r="30" spans="1:41" x14ac:dyDescent="0.25">
      <c r="C30" s="39"/>
      <c r="D30" s="41"/>
      <c r="E30" s="41"/>
      <c r="F30" s="41"/>
      <c r="G30" s="49"/>
      <c r="H30" s="54"/>
      <c r="I30" s="41"/>
      <c r="J30" s="59"/>
      <c r="K30" s="54"/>
      <c r="L30" s="61"/>
      <c r="AG30" t="s">
        <v>169</v>
      </c>
      <c r="AH30" s="104" t="s">
        <v>156</v>
      </c>
      <c r="AI30" s="104" t="s">
        <v>138</v>
      </c>
      <c r="AJ30" s="122">
        <v>2178.61</v>
      </c>
      <c r="AK30" s="127" t="s">
        <v>31</v>
      </c>
      <c r="AL30" s="128">
        <v>0.03</v>
      </c>
      <c r="AM30" s="130">
        <v>12.5</v>
      </c>
      <c r="AN30" t="s">
        <v>147</v>
      </c>
      <c r="AO30" t="s">
        <v>147</v>
      </c>
    </row>
    <row r="31" spans="1:41" x14ac:dyDescent="0.25">
      <c r="C31" s="45">
        <v>105001</v>
      </c>
      <c r="D31" s="46">
        <v>1</v>
      </c>
      <c r="E31" s="46">
        <v>2</v>
      </c>
      <c r="F31" s="47">
        <v>1.2</v>
      </c>
      <c r="G31" s="48" t="s">
        <v>34</v>
      </c>
      <c r="H31" s="54" t="s">
        <v>28</v>
      </c>
      <c r="I31" s="46" t="s">
        <v>31</v>
      </c>
      <c r="J31" s="59">
        <v>19.50991825428839</v>
      </c>
      <c r="K31" s="58">
        <v>0.5</v>
      </c>
      <c r="L31" s="61">
        <v>1617.1289999999999</v>
      </c>
      <c r="M31">
        <v>1615.2180000000001</v>
      </c>
      <c r="AG31" t="s">
        <v>170</v>
      </c>
      <c r="AH31" s="104" t="s">
        <v>155</v>
      </c>
      <c r="AI31" s="104" t="s">
        <v>136</v>
      </c>
      <c r="AJ31" s="122">
        <v>2198.433</v>
      </c>
      <c r="AK31" s="126" t="s">
        <v>31</v>
      </c>
      <c r="AL31" s="128">
        <v>0.06</v>
      </c>
      <c r="AM31" s="130">
        <v>14.14</v>
      </c>
      <c r="AN31" t="s">
        <v>146</v>
      </c>
      <c r="AO31" t="s">
        <v>151</v>
      </c>
    </row>
    <row r="32" spans="1:41" x14ac:dyDescent="0.25">
      <c r="C32" s="113" t="s">
        <v>33</v>
      </c>
      <c r="D32" s="114"/>
      <c r="E32" s="114"/>
      <c r="F32" s="114"/>
      <c r="G32" s="114"/>
      <c r="H32" s="114"/>
      <c r="I32" s="114"/>
      <c r="J32" s="114"/>
      <c r="K32" s="114"/>
      <c r="L32" s="114"/>
      <c r="M32" s="114"/>
      <c r="AG32" t="s">
        <v>171</v>
      </c>
      <c r="AH32" s="104" t="s">
        <v>155</v>
      </c>
      <c r="AI32" s="104" t="s">
        <v>136</v>
      </c>
      <c r="AJ32" s="122">
        <v>2192.0300000000002</v>
      </c>
      <c r="AK32" s="126" t="s">
        <v>31</v>
      </c>
      <c r="AL32" s="128">
        <v>0.04</v>
      </c>
      <c r="AM32" s="130">
        <v>17.420000000000002</v>
      </c>
      <c r="AN32" t="s">
        <v>146</v>
      </c>
      <c r="AO32" t="s">
        <v>151</v>
      </c>
    </row>
    <row r="33" spans="3:41" x14ac:dyDescent="0.25">
      <c r="C33" s="40">
        <v>103820</v>
      </c>
      <c r="D33" s="41">
        <v>2</v>
      </c>
      <c r="E33" s="41">
        <v>48</v>
      </c>
      <c r="F33" s="54" t="s">
        <v>36</v>
      </c>
      <c r="G33" s="54" t="s">
        <v>37</v>
      </c>
      <c r="I33" s="46" t="s">
        <v>31</v>
      </c>
      <c r="J33" s="59">
        <v>22.09734110214012</v>
      </c>
      <c r="K33" s="58">
        <v>3</v>
      </c>
      <c r="L33" s="61">
        <v>1636.52</v>
      </c>
      <c r="M33" s="9">
        <v>1634.192</v>
      </c>
      <c r="AG33" t="s">
        <v>172</v>
      </c>
      <c r="AH33" s="104" t="s">
        <v>155</v>
      </c>
      <c r="AI33" s="104" t="s">
        <v>136</v>
      </c>
      <c r="AJ33" s="122">
        <v>2188.3300000000004</v>
      </c>
      <c r="AK33" s="126" t="s">
        <v>31</v>
      </c>
      <c r="AL33" s="128">
        <v>0.05</v>
      </c>
      <c r="AM33" s="130">
        <v>22.38</v>
      </c>
      <c r="AN33" t="s">
        <v>146</v>
      </c>
      <c r="AO33" t="s">
        <v>151</v>
      </c>
    </row>
    <row r="34" spans="3:41" x14ac:dyDescent="0.25">
      <c r="C34" s="40">
        <v>103990</v>
      </c>
      <c r="D34" s="41">
        <v>1</v>
      </c>
      <c r="E34" s="41">
        <v>48</v>
      </c>
      <c r="F34" s="58" t="s">
        <v>36</v>
      </c>
      <c r="G34" s="58" t="s">
        <v>37</v>
      </c>
      <c r="I34" s="46" t="s">
        <v>31</v>
      </c>
      <c r="J34" s="59">
        <v>22.4370214469171</v>
      </c>
      <c r="K34" s="58">
        <v>3</v>
      </c>
      <c r="L34" s="61">
        <v>1634.3009999999999</v>
      </c>
      <c r="M34">
        <v>1631.973</v>
      </c>
      <c r="AG34" t="s">
        <v>173</v>
      </c>
      <c r="AH34" s="104" t="s">
        <v>155</v>
      </c>
      <c r="AI34" s="104" t="s">
        <v>136</v>
      </c>
      <c r="AJ34" s="122">
        <v>2194.8900000000003</v>
      </c>
      <c r="AK34" s="126" t="s">
        <v>31</v>
      </c>
      <c r="AL34" s="128">
        <v>0.04</v>
      </c>
      <c r="AM34" s="130">
        <v>15.16</v>
      </c>
      <c r="AN34" t="s">
        <v>146</v>
      </c>
      <c r="AO34" t="s">
        <v>146</v>
      </c>
    </row>
    <row r="35" spans="3:41" x14ac:dyDescent="0.25">
      <c r="C35" s="40">
        <v>104470</v>
      </c>
      <c r="D35" s="41">
        <v>1</v>
      </c>
      <c r="E35" s="41">
        <v>48</v>
      </c>
      <c r="F35" s="58" t="s">
        <v>36</v>
      </c>
      <c r="G35" s="58" t="s">
        <v>37</v>
      </c>
      <c r="I35" s="71" t="s">
        <v>31</v>
      </c>
      <c r="J35" s="59">
        <v>22.779314281069986</v>
      </c>
      <c r="K35" s="58">
        <v>3</v>
      </c>
      <c r="L35" s="61">
        <v>1630.7750000000001</v>
      </c>
      <c r="M35">
        <v>1628.4469999999999</v>
      </c>
      <c r="AG35" t="s">
        <v>174</v>
      </c>
      <c r="AH35" s="104" t="s">
        <v>155</v>
      </c>
      <c r="AI35" s="104" t="s">
        <v>136</v>
      </c>
      <c r="AJ35" s="122">
        <v>2199.09</v>
      </c>
      <c r="AK35" s="126" t="s">
        <v>31</v>
      </c>
      <c r="AL35" s="128">
        <v>7.0000000000000007E-2</v>
      </c>
      <c r="AM35" s="130">
        <v>13.66</v>
      </c>
      <c r="AN35" t="s">
        <v>149</v>
      </c>
      <c r="AO35" t="s">
        <v>152</v>
      </c>
    </row>
    <row r="36" spans="3:41" x14ac:dyDescent="0.25">
      <c r="AG36" t="s">
        <v>175</v>
      </c>
      <c r="AH36" s="104" t="s">
        <v>155</v>
      </c>
      <c r="AI36" s="104" t="s">
        <v>136</v>
      </c>
      <c r="AJ36" s="122">
        <v>2198.1299999999997</v>
      </c>
      <c r="AK36" s="126" t="s">
        <v>31</v>
      </c>
      <c r="AL36" s="128">
        <v>7.0000000000000007E-2</v>
      </c>
      <c r="AM36" s="130">
        <v>15.61</v>
      </c>
      <c r="AN36" t="s">
        <v>149</v>
      </c>
      <c r="AO36" t="s">
        <v>152</v>
      </c>
    </row>
    <row r="37" spans="3:41" x14ac:dyDescent="0.25">
      <c r="AG37" t="s">
        <v>176</v>
      </c>
      <c r="AH37" s="104" t="s">
        <v>155</v>
      </c>
      <c r="AI37" s="104" t="s">
        <v>136</v>
      </c>
      <c r="AJ37" s="122">
        <v>2200.94</v>
      </c>
      <c r="AK37" s="126" t="s">
        <v>31</v>
      </c>
      <c r="AL37" s="128">
        <v>0.05</v>
      </c>
      <c r="AM37" s="130">
        <v>11.74</v>
      </c>
      <c r="AN37" t="s">
        <v>146</v>
      </c>
      <c r="AO37" t="s">
        <v>151</v>
      </c>
    </row>
    <row r="38" spans="3:41" x14ac:dyDescent="0.25">
      <c r="AG38" t="s">
        <v>177</v>
      </c>
      <c r="AH38" s="104" t="s">
        <v>155</v>
      </c>
      <c r="AI38" s="104" t="s">
        <v>136</v>
      </c>
      <c r="AJ38" s="122">
        <v>2203.3399999999997</v>
      </c>
      <c r="AK38" s="126" t="s">
        <v>31</v>
      </c>
      <c r="AL38" s="128">
        <v>0.04</v>
      </c>
      <c r="AM38" s="130">
        <v>11.87</v>
      </c>
      <c r="AN38" t="s">
        <v>146</v>
      </c>
      <c r="AO38" t="s">
        <v>146</v>
      </c>
    </row>
    <row r="39" spans="3:41" x14ac:dyDescent="0.25">
      <c r="AG39" t="s">
        <v>178</v>
      </c>
      <c r="AH39" s="104" t="s">
        <v>155</v>
      </c>
      <c r="AI39" s="104" t="s">
        <v>136</v>
      </c>
      <c r="AJ39" s="122">
        <v>2203.3000000000002</v>
      </c>
      <c r="AK39" s="126" t="s">
        <v>31</v>
      </c>
      <c r="AL39" s="128">
        <v>0.06</v>
      </c>
      <c r="AM39" s="130">
        <v>13.35</v>
      </c>
      <c r="AN39" t="s">
        <v>146</v>
      </c>
      <c r="AO39" t="s">
        <v>151</v>
      </c>
    </row>
    <row r="40" spans="3:41" x14ac:dyDescent="0.25">
      <c r="AG40" t="s">
        <v>179</v>
      </c>
      <c r="AH40" s="104" t="s">
        <v>156</v>
      </c>
      <c r="AI40" s="104" t="s">
        <v>138</v>
      </c>
      <c r="AJ40" s="122">
        <v>2206.0165999999999</v>
      </c>
      <c r="AK40" s="126" t="s">
        <v>31</v>
      </c>
      <c r="AL40" s="128">
        <v>0.04</v>
      </c>
      <c r="AM40" s="130">
        <v>12.49</v>
      </c>
      <c r="AN40" t="s">
        <v>147</v>
      </c>
      <c r="AO40" t="s">
        <v>147</v>
      </c>
    </row>
    <row r="41" spans="3:41" x14ac:dyDescent="0.25">
      <c r="AG41" t="s">
        <v>180</v>
      </c>
      <c r="AH41" s="104" t="s">
        <v>155</v>
      </c>
      <c r="AI41" s="104" t="s">
        <v>136</v>
      </c>
      <c r="AJ41" s="122">
        <v>2216.4699999999998</v>
      </c>
      <c r="AK41" s="126" t="s">
        <v>31</v>
      </c>
      <c r="AL41" s="128">
        <v>0.04</v>
      </c>
      <c r="AM41" s="130">
        <v>11.75</v>
      </c>
      <c r="AN41" t="s">
        <v>146</v>
      </c>
      <c r="AO41" t="s">
        <v>151</v>
      </c>
    </row>
    <row r="42" spans="3:41" x14ac:dyDescent="0.25">
      <c r="AG42" t="s">
        <v>181</v>
      </c>
      <c r="AH42" s="104" t="s">
        <v>156</v>
      </c>
      <c r="AI42" s="104" t="s">
        <v>139</v>
      </c>
      <c r="AJ42" s="122">
        <v>2193.5500000000002</v>
      </c>
      <c r="AK42" s="126" t="s">
        <v>31</v>
      </c>
      <c r="AL42" s="128">
        <v>0.03</v>
      </c>
      <c r="AM42" s="130">
        <v>27.73</v>
      </c>
      <c r="AN42" t="s">
        <v>147</v>
      </c>
      <c r="AO42" t="s">
        <v>147</v>
      </c>
    </row>
    <row r="43" spans="3:41" x14ac:dyDescent="0.25">
      <c r="AG43" t="s">
        <v>182</v>
      </c>
      <c r="AH43" s="104" t="s">
        <v>156</v>
      </c>
      <c r="AI43" s="104" t="s">
        <v>138</v>
      </c>
      <c r="AJ43" s="122">
        <v>2247.4183000000003</v>
      </c>
      <c r="AK43" s="126" t="s">
        <v>31</v>
      </c>
      <c r="AL43" s="128">
        <v>0.02</v>
      </c>
      <c r="AM43" s="130">
        <v>9.09</v>
      </c>
      <c r="AN43" t="s">
        <v>147</v>
      </c>
      <c r="AO43" s="109" t="s">
        <v>153</v>
      </c>
    </row>
    <row r="44" spans="3:41" x14ac:dyDescent="0.25">
      <c r="AG44" t="s">
        <v>183</v>
      </c>
      <c r="AH44" s="104" t="s">
        <v>155</v>
      </c>
      <c r="AI44" s="104" t="s">
        <v>136</v>
      </c>
      <c r="AJ44" s="122">
        <v>2251.6061999999997</v>
      </c>
      <c r="AK44" s="126" t="s">
        <v>31</v>
      </c>
      <c r="AL44" s="128">
        <v>0.04</v>
      </c>
      <c r="AM44" s="130">
        <v>13.67</v>
      </c>
      <c r="AN44" t="s">
        <v>146</v>
      </c>
      <c r="AO44" s="109" t="s">
        <v>146</v>
      </c>
    </row>
    <row r="45" spans="3:41" x14ac:dyDescent="0.25">
      <c r="AG45" t="s">
        <v>184</v>
      </c>
      <c r="AH45" s="104" t="s">
        <v>155</v>
      </c>
      <c r="AI45" s="104" t="s">
        <v>136</v>
      </c>
      <c r="AJ45" s="122">
        <v>2256.9686000000002</v>
      </c>
      <c r="AK45" s="126" t="s">
        <v>31</v>
      </c>
      <c r="AL45" s="128">
        <v>0.05</v>
      </c>
      <c r="AM45" s="130">
        <v>22.37</v>
      </c>
      <c r="AN45" t="s">
        <v>150</v>
      </c>
      <c r="AO45" s="109" t="s">
        <v>146</v>
      </c>
    </row>
    <row r="46" spans="3:41" x14ac:dyDescent="0.25">
      <c r="AG46" t="s">
        <v>185</v>
      </c>
      <c r="AH46" s="104" t="s">
        <v>156</v>
      </c>
      <c r="AI46" s="104" t="s">
        <v>140</v>
      </c>
      <c r="AJ46" s="122">
        <v>2260.1460999999999</v>
      </c>
      <c r="AK46" s="126" t="s">
        <v>31</v>
      </c>
      <c r="AL46" s="128">
        <v>0.04</v>
      </c>
      <c r="AM46" s="130">
        <v>30.25</v>
      </c>
      <c r="AN46" t="s">
        <v>147</v>
      </c>
      <c r="AO46" s="109" t="s">
        <v>147</v>
      </c>
    </row>
    <row r="47" spans="3:41" x14ac:dyDescent="0.25">
      <c r="AG47" t="s">
        <v>186</v>
      </c>
      <c r="AH47" s="104" t="s">
        <v>155</v>
      </c>
      <c r="AI47" s="104" t="s">
        <v>136</v>
      </c>
      <c r="AJ47" s="122">
        <v>2274.2468000000003</v>
      </c>
      <c r="AK47" s="126" t="s">
        <v>31</v>
      </c>
      <c r="AL47" s="128">
        <v>0.08</v>
      </c>
      <c r="AM47" s="130">
        <v>22.24</v>
      </c>
      <c r="AN47" t="s">
        <v>147</v>
      </c>
      <c r="AO47" s="109" t="s">
        <v>151</v>
      </c>
    </row>
    <row r="48" spans="3:41" x14ac:dyDescent="0.25">
      <c r="AG48" t="s">
        <v>187</v>
      </c>
      <c r="AH48" s="104" t="s">
        <v>155</v>
      </c>
      <c r="AI48" s="104" t="s">
        <v>136</v>
      </c>
      <c r="AJ48" s="122">
        <v>2277.672</v>
      </c>
      <c r="AK48" s="126" t="s">
        <v>32</v>
      </c>
      <c r="AL48" s="128">
        <v>0.03</v>
      </c>
      <c r="AM48" s="130">
        <v>17.059999999999999</v>
      </c>
      <c r="AN48" t="s">
        <v>151</v>
      </c>
      <c r="AO48" s="109" t="s">
        <v>146</v>
      </c>
    </row>
    <row r="49" spans="33:41" x14ac:dyDescent="0.25">
      <c r="AG49" t="s">
        <v>188</v>
      </c>
      <c r="AH49" s="104" t="s">
        <v>155</v>
      </c>
      <c r="AI49" s="104" t="s">
        <v>136</v>
      </c>
      <c r="AJ49" s="122">
        <v>2294.6457</v>
      </c>
      <c r="AK49" s="126" t="s">
        <v>31</v>
      </c>
      <c r="AL49" s="128">
        <v>0.08</v>
      </c>
      <c r="AM49" s="130">
        <v>13.29</v>
      </c>
      <c r="AN49" t="s">
        <v>150</v>
      </c>
      <c r="AO49" s="109" t="s">
        <v>151</v>
      </c>
    </row>
    <row r="50" spans="33:41" x14ac:dyDescent="0.25">
      <c r="AG50" t="s">
        <v>189</v>
      </c>
      <c r="AH50" s="104" t="s">
        <v>156</v>
      </c>
      <c r="AI50" s="104" t="s">
        <v>138</v>
      </c>
      <c r="AJ50" s="122">
        <v>2292.8953000000001</v>
      </c>
      <c r="AK50" s="127" t="s">
        <v>31</v>
      </c>
      <c r="AL50" s="128">
        <v>0.04</v>
      </c>
      <c r="AM50" s="130">
        <v>13.42</v>
      </c>
      <c r="AN50" t="s">
        <v>150</v>
      </c>
      <c r="AO50" s="109" t="s">
        <v>153</v>
      </c>
    </row>
    <row r="51" spans="33:41" x14ac:dyDescent="0.25">
      <c r="AG51" t="s">
        <v>190</v>
      </c>
      <c r="AH51" s="104" t="s">
        <v>156</v>
      </c>
      <c r="AI51" s="104" t="s">
        <v>141</v>
      </c>
      <c r="AJ51" s="122">
        <v>2286.9699999999998</v>
      </c>
      <c r="AK51" s="127" t="s">
        <v>31</v>
      </c>
      <c r="AL51" s="128">
        <v>0.05</v>
      </c>
      <c r="AM51" s="130">
        <v>12.89</v>
      </c>
      <c r="AN51" t="s">
        <v>147</v>
      </c>
      <c r="AO51" s="109" t="s">
        <v>147</v>
      </c>
    </row>
    <row r="52" spans="33:41" x14ac:dyDescent="0.25">
      <c r="AG52" t="s">
        <v>191</v>
      </c>
      <c r="AH52" s="104" t="s">
        <v>155</v>
      </c>
      <c r="AI52" s="104" t="s">
        <v>136</v>
      </c>
      <c r="AJ52" s="122">
        <v>2315.9612999999999</v>
      </c>
      <c r="AK52" s="126" t="s">
        <v>31</v>
      </c>
      <c r="AL52" s="128">
        <v>0.03</v>
      </c>
      <c r="AM52" s="130">
        <v>17.79</v>
      </c>
      <c r="AN52" t="s">
        <v>146</v>
      </c>
      <c r="AO52" s="110" t="s">
        <v>146</v>
      </c>
    </row>
    <row r="53" spans="33:41" x14ac:dyDescent="0.25">
      <c r="AG53" t="s">
        <v>192</v>
      </c>
      <c r="AH53" s="104" t="s">
        <v>155</v>
      </c>
      <c r="AI53" s="104" t="s">
        <v>136</v>
      </c>
      <c r="AJ53" s="122">
        <v>2317.1918999999998</v>
      </c>
      <c r="AK53" s="126" t="s">
        <v>31</v>
      </c>
      <c r="AL53" s="128">
        <v>0.04</v>
      </c>
      <c r="AM53" s="130">
        <v>21.45</v>
      </c>
      <c r="AN53" t="s">
        <v>146</v>
      </c>
      <c r="AO53" s="110" t="s">
        <v>151</v>
      </c>
    </row>
    <row r="54" spans="33:41" x14ac:dyDescent="0.25">
      <c r="AG54" t="s">
        <v>193</v>
      </c>
      <c r="AH54" s="104" t="s">
        <v>155</v>
      </c>
      <c r="AI54" s="104" t="s">
        <v>136</v>
      </c>
      <c r="AJ54" s="122">
        <v>2333.67</v>
      </c>
      <c r="AK54" s="126" t="s">
        <v>31</v>
      </c>
      <c r="AL54" s="128">
        <v>0.04</v>
      </c>
      <c r="AM54" s="130">
        <v>12.22</v>
      </c>
      <c r="AN54" t="s">
        <v>146</v>
      </c>
      <c r="AO54" s="110" t="s">
        <v>151</v>
      </c>
    </row>
    <row r="55" spans="33:41" x14ac:dyDescent="0.25">
      <c r="AG55" t="s">
        <v>194</v>
      </c>
      <c r="AH55" s="104" t="s">
        <v>156</v>
      </c>
      <c r="AI55" s="104" t="s">
        <v>142</v>
      </c>
      <c r="AJ55" s="122">
        <v>2322.3586</v>
      </c>
      <c r="AK55" s="127" t="s">
        <v>145</v>
      </c>
      <c r="AL55" s="128">
        <v>0.04</v>
      </c>
      <c r="AM55" s="130">
        <v>15.04</v>
      </c>
      <c r="AN55" t="s">
        <v>147</v>
      </c>
      <c r="AO55" s="110" t="s">
        <v>147</v>
      </c>
    </row>
    <row r="56" spans="33:41" x14ac:dyDescent="0.25">
      <c r="AG56" t="s">
        <v>195</v>
      </c>
      <c r="AH56" s="104" t="s">
        <v>155</v>
      </c>
      <c r="AI56" s="104" t="s">
        <v>136</v>
      </c>
      <c r="AJ56" s="122">
        <v>2360.2078000000001</v>
      </c>
      <c r="AK56" s="126" t="s">
        <v>32</v>
      </c>
      <c r="AL56" s="128">
        <v>0.05</v>
      </c>
      <c r="AM56" s="130">
        <v>10.92</v>
      </c>
      <c r="AN56" t="s">
        <v>151</v>
      </c>
      <c r="AO56" s="110" t="s">
        <v>146</v>
      </c>
    </row>
    <row r="57" spans="33:41" x14ac:dyDescent="0.25">
      <c r="AG57" t="s">
        <v>196</v>
      </c>
      <c r="AH57" s="104" t="s">
        <v>155</v>
      </c>
      <c r="AI57" s="104" t="s">
        <v>136</v>
      </c>
      <c r="AJ57" s="122">
        <v>2367.7977000000001</v>
      </c>
      <c r="AK57" s="126" t="s">
        <v>32</v>
      </c>
      <c r="AL57" s="128">
        <v>0.04</v>
      </c>
      <c r="AM57" s="130">
        <v>11.41</v>
      </c>
      <c r="AN57" t="s">
        <v>151</v>
      </c>
      <c r="AO57" s="110" t="s">
        <v>146</v>
      </c>
    </row>
    <row r="58" spans="33:41" x14ac:dyDescent="0.25">
      <c r="AG58" t="s">
        <v>197</v>
      </c>
      <c r="AH58" s="104" t="s">
        <v>155</v>
      </c>
      <c r="AI58" s="104" t="s">
        <v>136</v>
      </c>
      <c r="AJ58" s="122">
        <v>2391.6931</v>
      </c>
      <c r="AK58" s="126" t="s">
        <v>32</v>
      </c>
      <c r="AL58" s="128">
        <v>0.04</v>
      </c>
      <c r="AM58" s="130">
        <v>12.85</v>
      </c>
      <c r="AN58" t="s">
        <v>151</v>
      </c>
      <c r="AO58" s="110" t="s">
        <v>154</v>
      </c>
    </row>
    <row r="59" spans="33:41" x14ac:dyDescent="0.25">
      <c r="AG59" t="s">
        <v>198</v>
      </c>
      <c r="AH59" s="104" t="s">
        <v>156</v>
      </c>
      <c r="AI59" s="104" t="s">
        <v>136</v>
      </c>
      <c r="AJ59" s="122">
        <v>2453.2044000000001</v>
      </c>
      <c r="AK59" s="127" t="s">
        <v>31</v>
      </c>
      <c r="AL59" s="128">
        <v>0.04</v>
      </c>
      <c r="AM59" s="130">
        <v>15.65</v>
      </c>
      <c r="AN59" t="s">
        <v>147</v>
      </c>
      <c r="AO59" s="110" t="s">
        <v>153</v>
      </c>
    </row>
    <row r="60" spans="33:41" x14ac:dyDescent="0.25">
      <c r="AG60" t="s">
        <v>199</v>
      </c>
      <c r="AH60" s="104" t="s">
        <v>156</v>
      </c>
      <c r="AI60" s="104" t="s">
        <v>143</v>
      </c>
      <c r="AJ60" s="122">
        <v>2506.9817000000003</v>
      </c>
      <c r="AK60" s="127" t="s">
        <v>31</v>
      </c>
      <c r="AL60" s="128">
        <v>0.03</v>
      </c>
      <c r="AM60" s="130">
        <v>10.11</v>
      </c>
      <c r="AN60" t="s">
        <v>147</v>
      </c>
      <c r="AO60" s="110" t="s">
        <v>153</v>
      </c>
    </row>
    <row r="61" spans="33:41" x14ac:dyDescent="0.25">
      <c r="AG61" t="s">
        <v>200</v>
      </c>
      <c r="AH61" s="104" t="s">
        <v>156</v>
      </c>
      <c r="AI61" s="104" t="s">
        <v>138</v>
      </c>
      <c r="AJ61" s="122">
        <v>2522.5464999999999</v>
      </c>
      <c r="AK61" s="127" t="s">
        <v>31</v>
      </c>
      <c r="AL61" s="128">
        <v>0.04</v>
      </c>
      <c r="AM61" s="130">
        <v>9.93</v>
      </c>
      <c r="AN61" t="s">
        <v>147</v>
      </c>
      <c r="AO61" s="110" t="s">
        <v>153</v>
      </c>
    </row>
    <row r="62" spans="33:41" x14ac:dyDescent="0.25">
      <c r="AG62" t="s">
        <v>201</v>
      </c>
      <c r="AH62" s="105" t="s">
        <v>155</v>
      </c>
      <c r="AI62" s="105" t="s">
        <v>136</v>
      </c>
      <c r="AJ62" s="122">
        <v>2553.2025000000003</v>
      </c>
      <c r="AK62" s="127" t="s">
        <v>31</v>
      </c>
      <c r="AL62" s="128">
        <v>0.04</v>
      </c>
      <c r="AM62" s="131">
        <v>16.649999999999999</v>
      </c>
      <c r="AN62" t="s">
        <v>146</v>
      </c>
      <c r="AO62" s="110" t="s">
        <v>151</v>
      </c>
    </row>
    <row r="84" spans="17:17" x14ac:dyDescent="0.25">
      <c r="Q84" s="102">
        <v>2.8261076010679744</v>
      </c>
    </row>
    <row r="85" spans="17:17" x14ac:dyDescent="0.25">
      <c r="Q85" s="102">
        <v>2.8222872749852854</v>
      </c>
    </row>
    <row r="86" spans="17:17" x14ac:dyDescent="0.25">
      <c r="Q86" s="102">
        <v>3.4163414607161258</v>
      </c>
    </row>
    <row r="87" spans="17:17" x14ac:dyDescent="0.25">
      <c r="Q87" s="102">
        <v>4.3742818703939292</v>
      </c>
    </row>
    <row r="88" spans="17:17" x14ac:dyDescent="0.25">
      <c r="Q88" s="102">
        <v>2.6612882056548983</v>
      </c>
    </row>
    <row r="89" spans="17:17" x14ac:dyDescent="0.25">
      <c r="Q89" s="103">
        <v>2.6600000000000819</v>
      </c>
    </row>
    <row r="90" spans="17:17" x14ac:dyDescent="0.25">
      <c r="Q90" s="103">
        <v>2.660000000000025</v>
      </c>
    </row>
    <row r="91" spans="17:17" x14ac:dyDescent="0.25">
      <c r="Q91" s="103">
        <v>2.6599999956636111</v>
      </c>
    </row>
    <row r="92" spans="17:17" x14ac:dyDescent="0.25">
      <c r="Q92" s="103">
        <v>2.6599999956636111</v>
      </c>
    </row>
    <row r="93" spans="17:17" x14ac:dyDescent="0.25">
      <c r="Q93" s="103">
        <v>2.9657682486763406</v>
      </c>
    </row>
    <row r="94" spans="17:17" x14ac:dyDescent="0.25">
      <c r="Q94" s="103">
        <v>3.1383297627207867</v>
      </c>
    </row>
    <row r="95" spans="17:17" x14ac:dyDescent="0.25">
      <c r="Q95" s="103">
        <v>3.7153205022149649</v>
      </c>
    </row>
    <row r="96" spans="17:17" x14ac:dyDescent="0.25">
      <c r="Q96" s="103">
        <v>3.7513235532892395</v>
      </c>
    </row>
    <row r="97" spans="17:17" x14ac:dyDescent="0.25">
      <c r="Q97" s="104">
        <v>3.6016447895815702</v>
      </c>
    </row>
    <row r="98" spans="17:17" x14ac:dyDescent="0.25">
      <c r="Q98" s="104">
        <v>3.2576887896458402</v>
      </c>
    </row>
    <row r="99" spans="17:17" x14ac:dyDescent="0.25">
      <c r="Q99" s="105">
        <v>3.4916749372196563</v>
      </c>
    </row>
    <row r="261" spans="1:1" x14ac:dyDescent="0.25">
      <c r="A261">
        <v>257.33408188998828</v>
      </c>
    </row>
  </sheetData>
  <mergeCells count="4">
    <mergeCell ref="AT6:AU6"/>
    <mergeCell ref="AW6:AX6"/>
    <mergeCell ref="C32:M32"/>
    <mergeCell ref="Q16:R1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dd_profile.add_profile">
                <anchor moveWithCells="1" sizeWithCells="1">
                  <from>
                    <xdr:col>3</xdr:col>
                    <xdr:colOff>971550</xdr:colOff>
                    <xdr:row>1</xdr:row>
                    <xdr:rowOff>76200</xdr:rowOff>
                  </from>
                  <to>
                    <xdr:col>5</xdr:col>
                    <xdr:colOff>247650</xdr:colOff>
                    <xdr:row>3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Macro1">
                <anchor moveWithCells="1" sizeWithCells="1">
                  <from>
                    <xdr:col>21</xdr:col>
                    <xdr:colOff>66675</xdr:colOff>
                    <xdr:row>4</xdr:row>
                    <xdr:rowOff>171450</xdr:rowOff>
                  </from>
                  <to>
                    <xdr:col>22</xdr:col>
                    <xdr:colOff>190500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8" tint="0.39997558519241921"/>
  </sheetPr>
  <dimension ref="A1:AV94"/>
  <sheetViews>
    <sheetView topLeftCell="E46" zoomScale="85" zoomScaleNormal="85" workbookViewId="0">
      <selection activeCell="G96" sqref="G96"/>
    </sheetView>
  </sheetViews>
  <sheetFormatPr defaultRowHeight="15" x14ac:dyDescent="0.25"/>
  <cols>
    <col min="1" max="1" width="5.5703125" customWidth="1"/>
    <col min="2" max="2" width="12.42578125" customWidth="1"/>
    <col min="3" max="3" width="14.140625" customWidth="1"/>
    <col min="4" max="4" width="18.42578125" customWidth="1"/>
    <col min="5" max="5" width="9.5703125" customWidth="1"/>
    <col min="6" max="6" width="9.140625" customWidth="1"/>
    <col min="7" max="7" width="17.140625" customWidth="1"/>
    <col min="8" max="8" width="5" customWidth="1"/>
    <col min="11" max="11" width="9" customWidth="1"/>
    <col min="12" max="12" width="14.28515625" bestFit="1" customWidth="1"/>
    <col min="16" max="16" width="14.28515625" bestFit="1" customWidth="1"/>
    <col min="48" max="48" width="12.42578125" bestFit="1" customWidth="1"/>
  </cols>
  <sheetData>
    <row r="1" spans="1:48" ht="17.25" x14ac:dyDescent="0.25">
      <c r="A1" s="1" t="s">
        <v>14</v>
      </c>
      <c r="B1" s="2"/>
      <c r="C1" s="2"/>
      <c r="D1" s="3" t="s">
        <v>9</v>
      </c>
      <c r="E1" s="4" t="s">
        <v>10</v>
      </c>
      <c r="F1" s="2"/>
      <c r="G1" s="24"/>
      <c r="H1" s="2"/>
      <c r="I1" s="2"/>
      <c r="J1" s="5"/>
      <c r="K1" s="5"/>
      <c r="L1" s="5"/>
    </row>
    <row r="2" spans="1:48" x14ac:dyDescent="0.25">
      <c r="A2" s="7"/>
      <c r="B2" s="6"/>
      <c r="C2" s="6"/>
      <c r="D2" s="6"/>
      <c r="E2" s="6"/>
      <c r="F2" s="6"/>
      <c r="G2" s="6"/>
      <c r="H2" s="6"/>
      <c r="I2" s="6"/>
      <c r="J2" s="6"/>
      <c r="N2" s="9"/>
    </row>
    <row r="3" spans="1:48" x14ac:dyDescent="0.25">
      <c r="A3" s="8"/>
      <c r="B3" s="32" t="s">
        <v>11</v>
      </c>
      <c r="C3" s="21"/>
      <c r="D3" s="6"/>
      <c r="E3" s="6"/>
      <c r="F3" s="6"/>
      <c r="G3" s="6"/>
      <c r="H3" s="6"/>
      <c r="I3" s="6"/>
      <c r="J3" s="6"/>
      <c r="N3" s="9"/>
    </row>
    <row r="4" spans="1:48" x14ac:dyDescent="0.25">
      <c r="A4" s="8"/>
      <c r="B4" s="26" t="str">
        <f>CONCATENATE("Chainage"," ","-"," ",TEXT([1]Slab!$E$8,"0+000"))</f>
        <v>Chainage - 0+000</v>
      </c>
      <c r="C4" s="27"/>
      <c r="D4" s="6"/>
      <c r="E4" s="6"/>
      <c r="F4" s="6"/>
      <c r="G4" s="6"/>
      <c r="H4" s="6"/>
      <c r="I4" s="6"/>
      <c r="J4" s="6"/>
      <c r="N4" s="9"/>
    </row>
    <row r="5" spans="1:48" x14ac:dyDescent="0.25">
      <c r="A5" s="6"/>
      <c r="B5" s="26" t="str">
        <f>CONCATENATE("Name"," ","-"," ","Box Culvert @",[2]SLB_CU!$I$7)</f>
        <v>Name - Box Culvert @Grade</v>
      </c>
      <c r="C5" s="28"/>
      <c r="D5" s="6"/>
      <c r="E5" s="6"/>
      <c r="F5" s="6"/>
      <c r="G5" s="6"/>
      <c r="H5" s="6"/>
      <c r="I5" s="6"/>
      <c r="J5" s="6"/>
      <c r="N5" s="9"/>
    </row>
    <row r="6" spans="1:48" x14ac:dyDescent="0.25">
      <c r="A6" s="11"/>
      <c r="B6" s="26" t="str">
        <f>CONCATENATE("No of Cell"," ","-"," ",[2]SLB_CU!$F$6)</f>
        <v>No of Cell - One</v>
      </c>
      <c r="C6" s="28"/>
      <c r="D6" s="6"/>
      <c r="E6" s="6"/>
      <c r="F6" s="6"/>
      <c r="G6" s="6"/>
      <c r="H6" s="6"/>
      <c r="I6" s="6"/>
      <c r="J6" s="6"/>
      <c r="N6" s="9"/>
      <c r="O6" s="9"/>
      <c r="P6" s="9"/>
      <c r="AR6" s="112"/>
      <c r="AS6" s="112"/>
      <c r="AU6" s="112"/>
      <c r="AV6" s="112"/>
    </row>
    <row r="7" spans="1:48" x14ac:dyDescent="0.25">
      <c r="A7" s="11"/>
      <c r="B7" s="26" t="str">
        <f>CONCATENATE("Clear Span"," ","-"," ",[2]SLB_CU!$D$5,"m")</f>
        <v>Clear Span - 1m</v>
      </c>
      <c r="C7" s="29"/>
      <c r="D7" s="6"/>
      <c r="E7" s="6"/>
      <c r="F7" s="6"/>
      <c r="G7" s="6"/>
      <c r="H7" s="6"/>
      <c r="I7" s="6"/>
      <c r="J7" s="6"/>
      <c r="N7" s="9"/>
      <c r="O7" s="9"/>
      <c r="P7" s="9"/>
      <c r="AR7" s="13"/>
      <c r="AS7" s="13"/>
      <c r="AU7" s="13"/>
      <c r="AV7" s="14"/>
    </row>
    <row r="8" spans="1:48" x14ac:dyDescent="0.25">
      <c r="A8" s="11"/>
      <c r="B8" s="26" t="str">
        <f>CONCATENATE("Clear Height"," ","-"," ",5,"m")</f>
        <v>Clear Height - 5m</v>
      </c>
      <c r="C8" s="29"/>
      <c r="D8" s="6"/>
      <c r="E8" s="6"/>
      <c r="F8" s="6"/>
      <c r="G8" s="6"/>
      <c r="H8" s="6"/>
      <c r="I8" s="6"/>
      <c r="J8" s="6"/>
      <c r="AR8" s="13"/>
      <c r="AS8" s="13"/>
      <c r="AU8" s="14"/>
      <c r="AV8" s="15"/>
    </row>
    <row r="9" spans="1:48" x14ac:dyDescent="0.25">
      <c r="A9" s="19"/>
      <c r="B9" s="26" t="str">
        <f>CONCATENATE("Skew Angle"," ","-"," ",5,"°")</f>
        <v>Skew Angle - 5°</v>
      </c>
      <c r="C9" s="29"/>
      <c r="D9" s="6"/>
      <c r="E9" s="6"/>
      <c r="F9" s="6"/>
      <c r="G9" s="6"/>
      <c r="H9" s="6"/>
      <c r="I9" s="6"/>
      <c r="J9" s="6"/>
      <c r="AR9" s="13"/>
      <c r="AS9" s="13"/>
      <c r="AU9" s="14"/>
      <c r="AV9" s="15"/>
    </row>
    <row r="10" spans="1:48" x14ac:dyDescent="0.25">
      <c r="A10" s="20"/>
      <c r="B10" s="26" t="str">
        <f>CONCATENATE("Slab length"," ","-"," ",TEXT([1]Slab!$E$14,"0.00"),"m")</f>
        <v>Slab length - 15.08m</v>
      </c>
      <c r="C10" s="29"/>
      <c r="D10" s="6"/>
      <c r="E10" s="6"/>
      <c r="F10" s="6"/>
      <c r="G10" s="6"/>
      <c r="H10" s="6"/>
      <c r="I10" s="6"/>
      <c r="J10" s="6"/>
      <c r="AR10" s="13"/>
      <c r="AS10" s="13"/>
      <c r="AU10" s="14"/>
      <c r="AV10" s="15"/>
    </row>
    <row r="11" spans="1:48" x14ac:dyDescent="0.25">
      <c r="A11" s="11"/>
      <c r="B11" s="26" t="str">
        <f>CONCATENATE("Invert Slope"," ","="," ",ABS([2]main!$D$4),"%")</f>
        <v>Invert Slope = 4%</v>
      </c>
      <c r="C11" s="29"/>
      <c r="D11" s="6"/>
      <c r="E11" s="6"/>
      <c r="F11" s="6"/>
      <c r="G11" s="6"/>
      <c r="H11" s="6"/>
      <c r="I11" s="6"/>
      <c r="J11" s="6"/>
      <c r="AR11" s="13"/>
      <c r="AS11" s="13"/>
      <c r="AU11" s="14"/>
      <c r="AV11" s="15"/>
    </row>
    <row r="12" spans="1:48" x14ac:dyDescent="0.25">
      <c r="A12" s="11"/>
      <c r="B12" s="26" t="str">
        <f>CONCATENATE("Design Elevation"," ","="," ","###")</f>
        <v>Design Elevation = ###</v>
      </c>
      <c r="C12" s="29"/>
      <c r="D12" s="6"/>
      <c r="E12" s="6"/>
      <c r="F12" s="6"/>
      <c r="G12" s="6"/>
      <c r="H12" s="6"/>
      <c r="I12" s="6"/>
      <c r="J12" s="6"/>
      <c r="AR12" s="13"/>
      <c r="AS12" s="13"/>
      <c r="AU12" s="14"/>
      <c r="AV12" s="15"/>
    </row>
    <row r="13" spans="1:48" x14ac:dyDescent="0.25">
      <c r="A13" s="11"/>
      <c r="B13" s="30" t="str">
        <f>CONCATENATE("Invert Elevation"," ","="," ","###")</f>
        <v>Invert Elevation = ###</v>
      </c>
      <c r="C13" s="22"/>
      <c r="D13" s="6"/>
      <c r="E13" s="6"/>
      <c r="F13" s="6"/>
      <c r="G13" s="6"/>
      <c r="H13" s="6"/>
      <c r="I13" s="6"/>
      <c r="J13" s="6"/>
    </row>
    <row r="14" spans="1:48" x14ac:dyDescent="0.25">
      <c r="A14" s="11"/>
      <c r="B14" s="6"/>
      <c r="C14" s="6"/>
      <c r="D14" s="6"/>
      <c r="E14" s="6"/>
      <c r="F14" s="6"/>
      <c r="G14" s="6"/>
      <c r="H14" s="6"/>
      <c r="I14" s="6"/>
      <c r="J14" s="6"/>
    </row>
    <row r="15" spans="1:48" x14ac:dyDescent="0.25">
      <c r="A15" s="11"/>
      <c r="B15" s="6"/>
      <c r="C15" s="6"/>
      <c r="D15" s="6"/>
      <c r="E15" s="6"/>
      <c r="F15" s="6"/>
      <c r="G15" s="6"/>
      <c r="H15" s="6"/>
      <c r="I15" s="6"/>
      <c r="J15" s="6"/>
    </row>
    <row r="16" spans="1:48" x14ac:dyDescent="0.25">
      <c r="A16" s="11"/>
      <c r="B16" s="6"/>
      <c r="C16" s="6"/>
      <c r="D16" s="6"/>
      <c r="E16" s="6"/>
      <c r="F16" s="6"/>
      <c r="G16" s="6"/>
      <c r="H16" s="6"/>
      <c r="I16" s="6"/>
      <c r="J16" s="6"/>
    </row>
    <row r="17" spans="1:10" x14ac:dyDescent="0.25">
      <c r="A17" s="11"/>
      <c r="B17" s="6"/>
      <c r="C17" s="6"/>
      <c r="D17" s="6"/>
      <c r="E17" s="6"/>
      <c r="F17" s="6"/>
      <c r="G17" s="6"/>
      <c r="H17" s="6"/>
      <c r="I17" s="6"/>
      <c r="J17" s="6"/>
    </row>
    <row r="18" spans="1:10" x14ac:dyDescent="0.25">
      <c r="A18" s="11"/>
      <c r="B18" s="6"/>
      <c r="C18" s="6"/>
      <c r="D18" s="6"/>
      <c r="E18" s="6"/>
      <c r="F18" s="6"/>
      <c r="G18" s="6"/>
      <c r="H18" s="6"/>
      <c r="I18" s="6"/>
      <c r="J18" s="6"/>
    </row>
    <row r="19" spans="1:10" x14ac:dyDescent="0.25">
      <c r="A19" s="11"/>
      <c r="B19" s="11"/>
      <c r="C19" s="8"/>
      <c r="D19" s="10"/>
      <c r="E19" s="8"/>
      <c r="F19" s="10"/>
      <c r="G19" s="10"/>
      <c r="H19" s="10"/>
      <c r="I19" s="10"/>
      <c r="J19" s="10"/>
    </row>
    <row r="20" spans="1:10" x14ac:dyDescent="0.25">
      <c r="A20" s="11"/>
      <c r="B20" s="11"/>
      <c r="C20" s="8"/>
      <c r="D20" s="10"/>
      <c r="E20" s="8"/>
      <c r="F20" s="10"/>
      <c r="G20" s="10"/>
      <c r="H20" s="10"/>
      <c r="I20" s="10"/>
      <c r="J20" s="10"/>
    </row>
    <row r="21" spans="1:10" x14ac:dyDescent="0.25">
      <c r="A21" s="11"/>
      <c r="B21" s="11"/>
      <c r="C21" s="8"/>
      <c r="D21" s="10"/>
      <c r="E21" s="8"/>
      <c r="F21" s="10"/>
      <c r="G21" s="10"/>
      <c r="H21" s="10"/>
      <c r="I21" s="10"/>
      <c r="J21" s="10"/>
    </row>
    <row r="22" spans="1:10" x14ac:dyDescent="0.25">
      <c r="A22" s="11"/>
      <c r="B22" s="11"/>
      <c r="C22" s="8"/>
      <c r="D22" s="10"/>
      <c r="E22" s="8"/>
      <c r="F22" s="10"/>
      <c r="G22" s="10"/>
      <c r="H22" s="10"/>
      <c r="I22" s="10"/>
      <c r="J22" s="10"/>
    </row>
    <row r="23" spans="1:10" x14ac:dyDescent="0.25">
      <c r="A23" s="11"/>
      <c r="B23" s="11"/>
      <c r="C23" s="8"/>
      <c r="D23" s="10"/>
      <c r="E23" s="8"/>
      <c r="F23" s="10"/>
      <c r="G23" s="10"/>
      <c r="H23" s="10"/>
      <c r="I23" s="10"/>
      <c r="J23" s="10"/>
    </row>
    <row r="24" spans="1:10" x14ac:dyDescent="0.25">
      <c r="A24" s="11"/>
      <c r="B24" s="11"/>
      <c r="C24" s="8"/>
      <c r="D24" s="10"/>
      <c r="E24" s="8"/>
      <c r="F24" s="10"/>
      <c r="G24" s="10"/>
      <c r="H24" s="10"/>
      <c r="I24" s="10"/>
      <c r="J24" s="10"/>
    </row>
    <row r="25" spans="1:10" x14ac:dyDescent="0.25">
      <c r="A25" s="11"/>
      <c r="B25" s="16"/>
      <c r="C25" s="8"/>
      <c r="D25" s="10"/>
      <c r="E25" s="8"/>
      <c r="F25" s="10"/>
      <c r="G25" s="10"/>
      <c r="H25" s="10"/>
      <c r="I25" s="10"/>
      <c r="J25" s="10"/>
    </row>
    <row r="26" spans="1:10" x14ac:dyDescent="0.25">
      <c r="A26" s="11"/>
      <c r="B26" s="11"/>
      <c r="C26" s="8"/>
      <c r="D26" s="10"/>
      <c r="E26" s="8"/>
      <c r="F26" s="10"/>
      <c r="G26" s="10"/>
      <c r="H26" s="10"/>
      <c r="I26" s="10"/>
      <c r="J26" s="10"/>
    </row>
    <row r="48" spans="7:7" x14ac:dyDescent="0.25">
      <c r="G48" s="72" t="s">
        <v>92</v>
      </c>
    </row>
    <row r="50" spans="6:9" x14ac:dyDescent="0.25">
      <c r="F50" s="82">
        <v>69.06134033203125</v>
      </c>
      <c r="G50" s="80" t="s">
        <v>71</v>
      </c>
      <c r="I50" s="82">
        <f>SUM(F50:F54)</f>
        <v>401.66827392578125</v>
      </c>
    </row>
    <row r="51" spans="6:9" hidden="1" x14ac:dyDescent="0.25">
      <c r="F51" s="82">
        <v>42.21160888671875</v>
      </c>
    </row>
    <row r="52" spans="6:9" hidden="1" x14ac:dyDescent="0.25">
      <c r="F52" s="82">
        <v>69.05224609375</v>
      </c>
    </row>
    <row r="53" spans="6:9" hidden="1" x14ac:dyDescent="0.25">
      <c r="F53" s="82">
        <v>83.02935791015625</v>
      </c>
    </row>
    <row r="54" spans="6:9" hidden="1" x14ac:dyDescent="0.25">
      <c r="F54" s="82">
        <v>138.313720703125</v>
      </c>
    </row>
    <row r="55" spans="6:9" x14ac:dyDescent="0.25">
      <c r="F55" s="79">
        <v>92.58526611328125</v>
      </c>
      <c r="G55" s="80" t="s">
        <v>72</v>
      </c>
      <c r="I55" s="82">
        <f>SUM(F55:F59)</f>
        <v>564.6690673828125</v>
      </c>
    </row>
    <row r="56" spans="6:9" hidden="1" x14ac:dyDescent="0.25">
      <c r="F56" s="79">
        <v>59.67822265625</v>
      </c>
    </row>
    <row r="57" spans="6:9" hidden="1" x14ac:dyDescent="0.25">
      <c r="F57" s="79">
        <v>142.20367431640625</v>
      </c>
    </row>
    <row r="58" spans="6:9" hidden="1" x14ac:dyDescent="0.25">
      <c r="F58" s="79">
        <v>104.43505859375</v>
      </c>
    </row>
    <row r="59" spans="6:9" hidden="1" x14ac:dyDescent="0.25">
      <c r="F59" s="79">
        <v>165.766845703125</v>
      </c>
    </row>
    <row r="60" spans="6:9" x14ac:dyDescent="0.25">
      <c r="F60" s="79">
        <v>104.618408203125</v>
      </c>
      <c r="G60" s="80" t="s">
        <v>73</v>
      </c>
      <c r="I60" s="82">
        <f>SUM(F60:F64)</f>
        <v>579.7490234375</v>
      </c>
    </row>
    <row r="61" spans="6:9" hidden="1" x14ac:dyDescent="0.25">
      <c r="F61" s="79">
        <v>69.0006103515625</v>
      </c>
    </row>
    <row r="62" spans="6:9" hidden="1" x14ac:dyDescent="0.25">
      <c r="F62" s="79">
        <v>143.98876953125</v>
      </c>
    </row>
    <row r="63" spans="6:9" hidden="1" x14ac:dyDescent="0.25">
      <c r="F63">
        <v>101.20574951171875</v>
      </c>
    </row>
    <row r="64" spans="6:9" hidden="1" x14ac:dyDescent="0.25">
      <c r="F64">
        <v>160.93548583984375</v>
      </c>
    </row>
    <row r="65" spans="6:9" x14ac:dyDescent="0.25">
      <c r="F65">
        <v>55.3892822265625</v>
      </c>
      <c r="G65" s="80" t="s">
        <v>74</v>
      </c>
      <c r="I65" s="82">
        <f>SUM(F65:F69)</f>
        <v>385.34442138671875</v>
      </c>
    </row>
    <row r="66" spans="6:9" hidden="1" x14ac:dyDescent="0.25">
      <c r="F66">
        <v>32.21234130859375</v>
      </c>
    </row>
    <row r="67" spans="6:9" hidden="1" x14ac:dyDescent="0.25">
      <c r="F67">
        <v>78.78118896484375</v>
      </c>
    </row>
    <row r="68" spans="6:9" hidden="1" x14ac:dyDescent="0.25">
      <c r="F68">
        <v>82.72174072265625</v>
      </c>
    </row>
    <row r="69" spans="6:9" hidden="1" x14ac:dyDescent="0.25">
      <c r="F69">
        <v>136.2398681640625</v>
      </c>
    </row>
    <row r="70" spans="6:9" x14ac:dyDescent="0.25">
      <c r="F70">
        <v>73.34844970703125</v>
      </c>
      <c r="G70" s="80" t="s">
        <v>75</v>
      </c>
      <c r="I70" s="82">
        <f>SUM(F70:F74)</f>
        <v>360.10443115234375</v>
      </c>
    </row>
    <row r="71" spans="6:9" hidden="1" x14ac:dyDescent="0.25">
      <c r="F71">
        <v>44.19573974609375</v>
      </c>
    </row>
    <row r="72" spans="6:9" hidden="1" x14ac:dyDescent="0.25">
      <c r="F72">
        <v>64.292236328125</v>
      </c>
    </row>
    <row r="73" spans="6:9" hidden="1" x14ac:dyDescent="0.25">
      <c r="F73">
        <v>66.4620361328125</v>
      </c>
    </row>
    <row r="74" spans="6:9" hidden="1" x14ac:dyDescent="0.25">
      <c r="F74">
        <v>111.80596923828125</v>
      </c>
    </row>
    <row r="75" spans="6:9" x14ac:dyDescent="0.25">
      <c r="F75">
        <v>128.560302734375</v>
      </c>
      <c r="G75" s="81" t="s">
        <v>76</v>
      </c>
      <c r="I75" s="82">
        <f>SUM(F75:F79)</f>
        <v>565.08935546875</v>
      </c>
    </row>
    <row r="76" spans="6:9" hidden="1" x14ac:dyDescent="0.25">
      <c r="F76">
        <v>82.98699951171875</v>
      </c>
    </row>
    <row r="77" spans="6:9" hidden="1" x14ac:dyDescent="0.25">
      <c r="F77">
        <v>122.0845947265625</v>
      </c>
    </row>
    <row r="78" spans="6:9" hidden="1" x14ac:dyDescent="0.25">
      <c r="F78">
        <v>88.42877197265625</v>
      </c>
    </row>
    <row r="79" spans="6:9" hidden="1" x14ac:dyDescent="0.25">
      <c r="F79">
        <v>143.0286865234375</v>
      </c>
    </row>
    <row r="80" spans="6:9" x14ac:dyDescent="0.25">
      <c r="F80">
        <v>97.3543701171875</v>
      </c>
      <c r="G80" s="80" t="s">
        <v>77</v>
      </c>
      <c r="I80" s="82">
        <f>SUM(F80:F84)</f>
        <v>486.20391845703125</v>
      </c>
    </row>
    <row r="81" spans="6:9" hidden="1" x14ac:dyDescent="0.25">
      <c r="F81">
        <v>59.37554931640625</v>
      </c>
    </row>
    <row r="82" spans="6:9" hidden="1" x14ac:dyDescent="0.25">
      <c r="F82">
        <v>100.34368896484375</v>
      </c>
    </row>
    <row r="83" spans="6:9" hidden="1" x14ac:dyDescent="0.25">
      <c r="F83">
        <v>84.85650634765625</v>
      </c>
    </row>
    <row r="84" spans="6:9" hidden="1" x14ac:dyDescent="0.25">
      <c r="F84">
        <v>144.2738037109375</v>
      </c>
    </row>
    <row r="85" spans="6:9" x14ac:dyDescent="0.25">
      <c r="F85">
        <v>105.80999755859375</v>
      </c>
      <c r="G85" s="80" t="s">
        <v>78</v>
      </c>
      <c r="I85" s="82">
        <f>SUM(F85:F89)</f>
        <v>563.63873291015625</v>
      </c>
    </row>
    <row r="86" spans="6:9" hidden="1" x14ac:dyDescent="0.25">
      <c r="F86">
        <v>65.461669921875</v>
      </c>
    </row>
    <row r="87" spans="6:9" hidden="1" x14ac:dyDescent="0.25">
      <c r="F87">
        <v>131.33831787109375</v>
      </c>
    </row>
    <row r="88" spans="6:9" hidden="1" x14ac:dyDescent="0.25">
      <c r="F88">
        <v>97.09527587890625</v>
      </c>
    </row>
    <row r="89" spans="6:9" hidden="1" x14ac:dyDescent="0.25">
      <c r="F89">
        <v>163.9334716796875</v>
      </c>
    </row>
    <row r="90" spans="6:9" x14ac:dyDescent="0.25">
      <c r="F90">
        <v>125.1214599609375</v>
      </c>
      <c r="G90" s="80" t="s">
        <v>79</v>
      </c>
      <c r="I90" s="82">
        <f>SUM(F90:F94)</f>
        <v>788.96002197265625</v>
      </c>
    </row>
    <row r="91" spans="6:9" hidden="1" x14ac:dyDescent="0.25">
      <c r="F91">
        <v>78.36846923828125</v>
      </c>
    </row>
    <row r="92" spans="6:9" hidden="1" x14ac:dyDescent="0.25">
      <c r="F92">
        <v>234.50811767578125</v>
      </c>
    </row>
    <row r="93" spans="6:9" hidden="1" x14ac:dyDescent="0.25">
      <c r="F93">
        <v>136.45794677734375</v>
      </c>
    </row>
    <row r="94" spans="6:9" hidden="1" x14ac:dyDescent="0.25">
      <c r="F94">
        <v>214.5040283203125</v>
      </c>
    </row>
  </sheetData>
  <autoFilter ref="G49:I94">
    <filterColumn colId="0">
      <colorFilter dxfId="0"/>
    </filterColumn>
  </autoFilter>
  <mergeCells count="2">
    <mergeCell ref="AR6:AS6"/>
    <mergeCell ref="AU6:AV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28575</xdr:colOff>
                    <xdr:row>2</xdr:row>
                    <xdr:rowOff>57150</xdr:rowOff>
                  </from>
                  <to>
                    <xdr:col>3</xdr:col>
                    <xdr:colOff>1171575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39997558519241921"/>
  </sheetPr>
  <dimension ref="A1:AV53"/>
  <sheetViews>
    <sheetView topLeftCell="H25" zoomScale="85" zoomScaleNormal="85" workbookViewId="0">
      <selection activeCell="L9" sqref="L9:T53"/>
    </sheetView>
  </sheetViews>
  <sheetFormatPr defaultRowHeight="15" x14ac:dyDescent="0.25"/>
  <cols>
    <col min="1" max="1" width="6.85546875" customWidth="1"/>
    <col min="2" max="2" width="11.140625" customWidth="1"/>
    <col min="3" max="3" width="11.42578125" customWidth="1"/>
    <col min="4" max="4" width="18.42578125" customWidth="1"/>
    <col min="5" max="5" width="9.5703125" customWidth="1"/>
    <col min="6" max="6" width="9.140625" customWidth="1"/>
    <col min="7" max="7" width="17.140625" customWidth="1"/>
    <col min="8" max="8" width="5" customWidth="1"/>
    <col min="11" max="11" width="9" customWidth="1"/>
    <col min="12" max="12" width="14.28515625" bestFit="1" customWidth="1"/>
    <col min="16" max="16" width="14.28515625" bestFit="1" customWidth="1"/>
    <col min="48" max="48" width="12.42578125" bestFit="1" customWidth="1"/>
  </cols>
  <sheetData>
    <row r="1" spans="1:48" x14ac:dyDescent="0.25">
      <c r="A1" s="17"/>
      <c r="B1" s="18"/>
      <c r="C1" s="18"/>
      <c r="D1" s="18"/>
      <c r="E1" s="18"/>
      <c r="F1" s="18"/>
      <c r="G1" s="18"/>
      <c r="H1" s="18"/>
      <c r="I1" s="18"/>
      <c r="J1" s="18"/>
      <c r="K1" s="18"/>
      <c r="L1" s="5"/>
    </row>
    <row r="2" spans="1:48" x14ac:dyDescent="0.25">
      <c r="A2" s="7"/>
      <c r="B2" s="6"/>
      <c r="C2" s="6"/>
      <c r="D2" s="6"/>
      <c r="E2" s="6"/>
      <c r="F2" s="6"/>
      <c r="G2" s="6"/>
      <c r="H2" s="6"/>
      <c r="I2" s="6"/>
      <c r="J2" s="6"/>
      <c r="N2" s="9"/>
    </row>
    <row r="3" spans="1:48" x14ac:dyDescent="0.25">
      <c r="A3" s="8"/>
      <c r="B3" s="6"/>
      <c r="C3" s="6"/>
      <c r="D3" s="6"/>
      <c r="E3" s="6"/>
      <c r="F3" s="6"/>
      <c r="G3" s="6"/>
      <c r="H3" s="6"/>
      <c r="I3" s="6"/>
      <c r="J3" s="6"/>
      <c r="N3" s="9"/>
    </row>
    <row r="4" spans="1:48" x14ac:dyDescent="0.25">
      <c r="A4" s="8"/>
      <c r="B4" s="6"/>
      <c r="C4" s="6"/>
      <c r="D4" s="6"/>
      <c r="E4" s="6"/>
      <c r="F4" s="6"/>
      <c r="G4" s="6"/>
      <c r="H4" s="6"/>
      <c r="I4" s="6"/>
      <c r="J4" s="6"/>
      <c r="N4" s="9"/>
    </row>
    <row r="5" spans="1:48" x14ac:dyDescent="0.25">
      <c r="A5" s="6"/>
      <c r="B5" s="6"/>
      <c r="C5" s="6"/>
      <c r="D5" s="6"/>
      <c r="E5" s="6"/>
      <c r="F5" s="6"/>
      <c r="G5" s="6"/>
      <c r="H5" s="6"/>
      <c r="I5" s="6"/>
      <c r="J5" s="6"/>
      <c r="N5" s="9"/>
    </row>
    <row r="6" spans="1:48" x14ac:dyDescent="0.25">
      <c r="A6" s="11"/>
      <c r="B6" s="6"/>
      <c r="C6" s="6"/>
      <c r="D6" s="6"/>
      <c r="E6" s="6"/>
      <c r="F6" s="6"/>
      <c r="G6" s="6"/>
      <c r="H6" s="6"/>
      <c r="I6" s="6"/>
      <c r="J6" s="6"/>
      <c r="N6" s="9"/>
      <c r="O6" s="9"/>
      <c r="P6" s="9"/>
      <c r="AR6" s="112"/>
      <c r="AS6" s="112"/>
      <c r="AU6" s="112"/>
      <c r="AV6" s="112"/>
    </row>
    <row r="7" spans="1:48" x14ac:dyDescent="0.25">
      <c r="A7" s="11"/>
      <c r="B7" s="6"/>
      <c r="C7" s="6"/>
      <c r="D7" s="6"/>
      <c r="E7" s="6"/>
      <c r="F7" s="6"/>
      <c r="G7" s="6"/>
      <c r="H7" s="6"/>
      <c r="I7" s="6"/>
      <c r="J7" s="6"/>
      <c r="N7" s="9"/>
      <c r="O7" s="9"/>
      <c r="P7" s="9"/>
      <c r="AR7" s="13"/>
      <c r="AS7" s="13"/>
      <c r="AU7" s="13"/>
      <c r="AV7" s="14"/>
    </row>
    <row r="8" spans="1:48" x14ac:dyDescent="0.25">
      <c r="A8" s="11"/>
      <c r="B8" s="6"/>
      <c r="C8" s="6"/>
      <c r="D8" s="6"/>
      <c r="E8" s="6"/>
      <c r="F8" s="6"/>
      <c r="G8" s="6"/>
      <c r="H8" s="6"/>
      <c r="I8" s="6"/>
      <c r="J8" s="6"/>
      <c r="AR8" s="13"/>
      <c r="AS8" s="13"/>
      <c r="AU8" s="14"/>
      <c r="AV8" s="15"/>
    </row>
    <row r="9" spans="1:48" x14ac:dyDescent="0.25">
      <c r="A9" s="19"/>
      <c r="B9" s="6"/>
      <c r="C9" s="6"/>
      <c r="D9" s="6"/>
      <c r="E9" s="6"/>
      <c r="F9" s="6"/>
      <c r="G9" s="6"/>
      <c r="H9" s="6"/>
      <c r="I9" s="6"/>
      <c r="J9" s="6"/>
      <c r="L9" t="s">
        <v>157</v>
      </c>
      <c r="M9" s="87" t="s">
        <v>155</v>
      </c>
      <c r="N9" s="87" t="s">
        <v>135</v>
      </c>
      <c r="O9" s="122">
        <v>2155.7800000000002</v>
      </c>
      <c r="P9" s="123" t="s">
        <v>31</v>
      </c>
      <c r="Q9" s="128">
        <v>0.02</v>
      </c>
      <c r="R9" s="129">
        <v>12.7</v>
      </c>
      <c r="S9" t="s">
        <v>146</v>
      </c>
      <c r="T9" t="s">
        <v>146</v>
      </c>
      <c r="AR9" s="13"/>
      <c r="AS9" s="13"/>
      <c r="AU9" s="14"/>
      <c r="AV9" s="15"/>
    </row>
    <row r="10" spans="1:48" x14ac:dyDescent="0.25">
      <c r="A10" s="20"/>
      <c r="B10" s="6"/>
      <c r="C10" s="6"/>
      <c r="D10" s="6"/>
      <c r="E10" s="6"/>
      <c r="F10" s="6"/>
      <c r="G10" s="6"/>
      <c r="H10" s="6"/>
      <c r="I10" s="6"/>
      <c r="J10" s="6"/>
      <c r="L10" t="s">
        <v>158</v>
      </c>
      <c r="M10" s="104" t="s">
        <v>155</v>
      </c>
      <c r="N10" s="104" t="s">
        <v>136</v>
      </c>
      <c r="O10" s="122">
        <v>2150.7999999999997</v>
      </c>
      <c r="P10" s="123" t="s">
        <v>31</v>
      </c>
      <c r="Q10" s="128">
        <v>0.03</v>
      </c>
      <c r="R10" s="130">
        <v>12.91</v>
      </c>
      <c r="S10" t="s">
        <v>151</v>
      </c>
      <c r="T10" t="s">
        <v>146</v>
      </c>
      <c r="AR10" s="13"/>
      <c r="AS10" s="13"/>
      <c r="AU10" s="14"/>
      <c r="AV10" s="15"/>
    </row>
    <row r="11" spans="1:48" x14ac:dyDescent="0.25">
      <c r="A11" s="11"/>
      <c r="B11" s="6"/>
      <c r="C11" s="6"/>
      <c r="D11" s="6"/>
      <c r="E11" s="6"/>
      <c r="F11" s="6"/>
      <c r="G11" s="6"/>
      <c r="H11" s="6"/>
      <c r="I11" s="6"/>
      <c r="J11" s="6"/>
      <c r="L11" t="s">
        <v>159</v>
      </c>
      <c r="M11" s="104" t="s">
        <v>155</v>
      </c>
      <c r="N11" s="104" t="s">
        <v>136</v>
      </c>
      <c r="O11" s="122">
        <v>2151.52</v>
      </c>
      <c r="P11" s="123" t="s">
        <v>31</v>
      </c>
      <c r="Q11" s="128">
        <v>0.03</v>
      </c>
      <c r="R11" s="130">
        <v>13.22</v>
      </c>
      <c r="S11" t="s">
        <v>151</v>
      </c>
      <c r="T11" t="s">
        <v>146</v>
      </c>
      <c r="AR11" s="13"/>
      <c r="AS11" s="13"/>
      <c r="AU11" s="14"/>
      <c r="AV11" s="15"/>
    </row>
    <row r="12" spans="1:48" x14ac:dyDescent="0.25">
      <c r="A12" s="11"/>
      <c r="B12" s="6"/>
      <c r="C12" s="6"/>
      <c r="D12" s="6"/>
      <c r="E12" s="6"/>
      <c r="F12" s="6"/>
      <c r="G12" s="6"/>
      <c r="H12" s="6"/>
      <c r="I12" s="6"/>
      <c r="J12" s="6"/>
      <c r="L12" t="s">
        <v>160</v>
      </c>
      <c r="M12" s="104" t="s">
        <v>156</v>
      </c>
      <c r="N12" s="104" t="s">
        <v>137</v>
      </c>
      <c r="O12" s="122">
        <v>2140.2269999999999</v>
      </c>
      <c r="P12" s="124" t="s">
        <v>31</v>
      </c>
      <c r="Q12" s="128">
        <v>0.04</v>
      </c>
      <c r="R12" s="130">
        <v>12.65</v>
      </c>
      <c r="S12" t="s">
        <v>147</v>
      </c>
      <c r="T12" t="s">
        <v>147</v>
      </c>
      <c r="AR12" s="13"/>
      <c r="AS12" s="13"/>
      <c r="AU12" s="14"/>
      <c r="AV12" s="15"/>
    </row>
    <row r="13" spans="1:48" x14ac:dyDescent="0.25">
      <c r="A13" s="11"/>
      <c r="B13" s="6"/>
      <c r="C13" s="6"/>
      <c r="D13" s="6"/>
      <c r="E13" s="6"/>
      <c r="F13" s="6"/>
      <c r="G13" s="6"/>
      <c r="H13" s="6"/>
      <c r="I13" s="6"/>
      <c r="J13" s="6"/>
      <c r="L13" t="s">
        <v>161</v>
      </c>
      <c r="M13" s="104" t="s">
        <v>155</v>
      </c>
      <c r="N13" s="104" t="s">
        <v>136</v>
      </c>
      <c r="O13" s="122">
        <v>2140.4100000000003</v>
      </c>
      <c r="P13" s="125" t="s">
        <v>144</v>
      </c>
      <c r="Q13" s="128">
        <v>0.03</v>
      </c>
      <c r="R13" s="130">
        <v>15.5</v>
      </c>
      <c r="S13" t="s">
        <v>151</v>
      </c>
      <c r="T13" t="s">
        <v>146</v>
      </c>
    </row>
    <row r="14" spans="1:48" x14ac:dyDescent="0.25">
      <c r="A14" s="11"/>
      <c r="B14" s="6"/>
      <c r="C14" s="6"/>
      <c r="D14" s="6"/>
      <c r="E14" s="6"/>
      <c r="F14" s="6"/>
      <c r="G14" s="6"/>
      <c r="H14" s="6"/>
      <c r="I14" s="6"/>
      <c r="J14" s="6"/>
      <c r="L14" t="s">
        <v>162</v>
      </c>
      <c r="M14" s="104" t="s">
        <v>155</v>
      </c>
      <c r="N14" s="104" t="s">
        <v>136</v>
      </c>
      <c r="O14" s="122">
        <v>2142.9750000000004</v>
      </c>
      <c r="P14" s="126" t="s">
        <v>144</v>
      </c>
      <c r="Q14" s="128">
        <v>0.03</v>
      </c>
      <c r="R14" s="130">
        <v>11.02</v>
      </c>
      <c r="S14" t="s">
        <v>151</v>
      </c>
      <c r="T14" t="s">
        <v>146</v>
      </c>
    </row>
    <row r="15" spans="1:48" x14ac:dyDescent="0.25">
      <c r="A15" s="11"/>
      <c r="B15" s="6"/>
      <c r="C15" s="6"/>
      <c r="D15" s="6"/>
      <c r="E15" s="6"/>
      <c r="F15" s="6"/>
      <c r="G15" s="6"/>
      <c r="H15" s="6"/>
      <c r="I15" s="6"/>
      <c r="J15" s="6"/>
      <c r="L15" t="s">
        <v>163</v>
      </c>
      <c r="M15" s="104" t="s">
        <v>155</v>
      </c>
      <c r="N15" s="104" t="s">
        <v>136</v>
      </c>
      <c r="O15" s="122">
        <v>2144.7400000000002</v>
      </c>
      <c r="P15" s="126" t="s">
        <v>31</v>
      </c>
      <c r="Q15" s="128">
        <v>0.08</v>
      </c>
      <c r="R15" s="130">
        <v>12.79</v>
      </c>
      <c r="S15" t="s">
        <v>151</v>
      </c>
      <c r="T15" t="s">
        <v>148</v>
      </c>
    </row>
    <row r="16" spans="1:48" x14ac:dyDescent="0.25">
      <c r="A16" s="11"/>
      <c r="B16" s="6"/>
      <c r="C16" s="6"/>
      <c r="D16" s="6"/>
      <c r="E16" s="6"/>
      <c r="F16" s="6"/>
      <c r="G16" s="6"/>
      <c r="H16" s="6"/>
      <c r="I16" s="6"/>
      <c r="J16" s="6"/>
      <c r="L16" t="s">
        <v>164</v>
      </c>
      <c r="M16" s="104" t="s">
        <v>155</v>
      </c>
      <c r="N16" s="104" t="s">
        <v>136</v>
      </c>
      <c r="O16" s="122">
        <v>2163.7200000000003</v>
      </c>
      <c r="P16" s="126" t="s">
        <v>31</v>
      </c>
      <c r="Q16" s="128">
        <v>0.04</v>
      </c>
      <c r="R16" s="130">
        <v>14.48</v>
      </c>
      <c r="S16" t="s">
        <v>151</v>
      </c>
      <c r="T16" t="s">
        <v>146</v>
      </c>
    </row>
    <row r="17" spans="1:20" x14ac:dyDescent="0.25">
      <c r="A17" s="11"/>
      <c r="B17" s="6"/>
      <c r="C17" s="6"/>
      <c r="D17" s="6"/>
      <c r="E17" s="6"/>
      <c r="F17" s="6"/>
      <c r="G17" s="6"/>
      <c r="H17" s="6"/>
      <c r="I17" s="6"/>
      <c r="J17" s="6"/>
      <c r="L17" t="s">
        <v>165</v>
      </c>
      <c r="M17" s="104" t="s">
        <v>155</v>
      </c>
      <c r="N17" s="104" t="s">
        <v>136</v>
      </c>
      <c r="O17" s="122">
        <v>2162.9900000000002</v>
      </c>
      <c r="P17" s="126" t="s">
        <v>31</v>
      </c>
      <c r="Q17" s="128">
        <v>0.04</v>
      </c>
      <c r="R17" s="130">
        <v>13.33</v>
      </c>
      <c r="S17" t="s">
        <v>151</v>
      </c>
      <c r="T17" t="s">
        <v>146</v>
      </c>
    </row>
    <row r="18" spans="1:20" x14ac:dyDescent="0.25">
      <c r="A18" s="11"/>
      <c r="B18" s="6"/>
      <c r="C18" s="6"/>
      <c r="D18" s="6"/>
      <c r="E18" s="6"/>
      <c r="F18" s="6"/>
      <c r="G18" s="6"/>
      <c r="H18" s="6"/>
      <c r="I18" s="6"/>
      <c r="J18" s="6"/>
      <c r="L18" t="s">
        <v>166</v>
      </c>
      <c r="M18" s="104" t="s">
        <v>155</v>
      </c>
      <c r="N18" s="104" t="s">
        <v>136</v>
      </c>
      <c r="O18" s="122">
        <v>2134.7999999999997</v>
      </c>
      <c r="P18" s="126" t="s">
        <v>31</v>
      </c>
      <c r="Q18" s="128">
        <v>0.03</v>
      </c>
      <c r="R18" s="130">
        <v>10.75</v>
      </c>
      <c r="S18" t="s">
        <v>151</v>
      </c>
      <c r="T18" t="s">
        <v>146</v>
      </c>
    </row>
    <row r="19" spans="1:20" x14ac:dyDescent="0.25">
      <c r="A19" s="11"/>
      <c r="B19" s="11"/>
      <c r="C19" s="8"/>
      <c r="D19" s="10"/>
      <c r="E19" s="8"/>
      <c r="F19" s="10"/>
      <c r="G19" s="10"/>
      <c r="H19" s="10"/>
      <c r="I19" s="10"/>
      <c r="J19" s="10"/>
      <c r="L19" t="s">
        <v>167</v>
      </c>
      <c r="M19" s="104" t="s">
        <v>155</v>
      </c>
      <c r="N19" s="104" t="s">
        <v>136</v>
      </c>
      <c r="O19" s="122">
        <v>2134.1219999999998</v>
      </c>
      <c r="P19" s="126" t="s">
        <v>31</v>
      </c>
      <c r="Q19" s="128">
        <v>0.03</v>
      </c>
      <c r="R19" s="130">
        <v>12.55</v>
      </c>
      <c r="S19" t="s">
        <v>151</v>
      </c>
      <c r="T19" t="s">
        <v>146</v>
      </c>
    </row>
    <row r="20" spans="1:20" x14ac:dyDescent="0.25">
      <c r="A20" s="11"/>
      <c r="B20" s="11"/>
      <c r="C20" s="8"/>
      <c r="D20" s="10"/>
      <c r="E20" s="8"/>
      <c r="F20" s="10"/>
      <c r="G20" s="10"/>
      <c r="H20" s="10"/>
      <c r="I20" s="10"/>
      <c r="J20" s="10"/>
      <c r="L20" t="s">
        <v>168</v>
      </c>
      <c r="M20" s="104" t="s">
        <v>155</v>
      </c>
      <c r="N20" s="104" t="s">
        <v>136</v>
      </c>
      <c r="O20" s="122">
        <v>2168.241</v>
      </c>
      <c r="P20" s="126" t="s">
        <v>31</v>
      </c>
      <c r="Q20" s="128">
        <v>0.04</v>
      </c>
      <c r="R20" s="130">
        <v>12.84</v>
      </c>
      <c r="S20" t="s">
        <v>146</v>
      </c>
      <c r="T20" t="s">
        <v>146</v>
      </c>
    </row>
    <row r="21" spans="1:20" x14ac:dyDescent="0.25">
      <c r="A21" s="11"/>
      <c r="B21" s="11"/>
      <c r="C21" s="8"/>
      <c r="D21" s="10"/>
      <c r="E21" s="8"/>
      <c r="F21" s="10"/>
      <c r="G21" s="10"/>
      <c r="H21" s="10"/>
      <c r="I21" s="10"/>
      <c r="J21" s="10"/>
      <c r="L21" t="s">
        <v>169</v>
      </c>
      <c r="M21" s="104" t="s">
        <v>156</v>
      </c>
      <c r="N21" s="104" t="s">
        <v>138</v>
      </c>
      <c r="O21" s="122">
        <v>2178.61</v>
      </c>
      <c r="P21" s="127" t="s">
        <v>31</v>
      </c>
      <c r="Q21" s="128">
        <v>0.03</v>
      </c>
      <c r="R21" s="130">
        <v>12.5</v>
      </c>
      <c r="S21" t="s">
        <v>147</v>
      </c>
      <c r="T21" t="s">
        <v>147</v>
      </c>
    </row>
    <row r="22" spans="1:20" x14ac:dyDescent="0.25">
      <c r="A22" s="11"/>
      <c r="B22" s="11"/>
      <c r="C22" s="8"/>
      <c r="D22" s="10"/>
      <c r="E22" s="8"/>
      <c r="F22" s="10"/>
      <c r="G22" s="10"/>
      <c r="H22" s="10"/>
      <c r="I22" s="10"/>
      <c r="J22" s="10"/>
      <c r="L22" t="s">
        <v>170</v>
      </c>
      <c r="M22" s="104" t="s">
        <v>155</v>
      </c>
      <c r="N22" s="104" t="s">
        <v>136</v>
      </c>
      <c r="O22" s="122">
        <v>2198.433</v>
      </c>
      <c r="P22" s="126" t="s">
        <v>31</v>
      </c>
      <c r="Q22" s="128">
        <v>0.06</v>
      </c>
      <c r="R22" s="130">
        <v>14.14</v>
      </c>
      <c r="S22" t="s">
        <v>151</v>
      </c>
      <c r="T22" t="s">
        <v>146</v>
      </c>
    </row>
    <row r="23" spans="1:20" x14ac:dyDescent="0.25">
      <c r="A23" s="11"/>
      <c r="B23" s="11"/>
      <c r="C23" s="8"/>
      <c r="D23" s="10"/>
      <c r="E23" s="8"/>
      <c r="F23" s="10"/>
      <c r="G23" s="10"/>
      <c r="H23" s="10"/>
      <c r="I23" s="10"/>
      <c r="J23" s="10"/>
      <c r="L23" t="s">
        <v>171</v>
      </c>
      <c r="M23" s="104" t="s">
        <v>155</v>
      </c>
      <c r="N23" s="104" t="s">
        <v>136</v>
      </c>
      <c r="O23" s="122">
        <v>2192.0300000000002</v>
      </c>
      <c r="P23" s="126" t="s">
        <v>31</v>
      </c>
      <c r="Q23" s="128">
        <v>0.04</v>
      </c>
      <c r="R23" s="130">
        <v>17.420000000000002</v>
      </c>
      <c r="S23" t="s">
        <v>151</v>
      </c>
      <c r="T23" t="s">
        <v>146</v>
      </c>
    </row>
    <row r="24" spans="1:20" x14ac:dyDescent="0.25">
      <c r="A24" s="11"/>
      <c r="B24" s="11"/>
      <c r="C24" s="8"/>
      <c r="D24" s="10"/>
      <c r="E24" s="8"/>
      <c r="F24" s="10"/>
      <c r="G24" s="10"/>
      <c r="H24" s="10"/>
      <c r="I24" s="10"/>
      <c r="J24" s="10"/>
      <c r="L24" t="s">
        <v>172</v>
      </c>
      <c r="M24" s="104" t="s">
        <v>155</v>
      </c>
      <c r="N24" s="104" t="s">
        <v>136</v>
      </c>
      <c r="O24" s="122">
        <v>2188.3300000000004</v>
      </c>
      <c r="P24" s="126" t="s">
        <v>31</v>
      </c>
      <c r="Q24" s="128">
        <v>0.05</v>
      </c>
      <c r="R24" s="130">
        <v>22.38</v>
      </c>
      <c r="S24" t="s">
        <v>151</v>
      </c>
      <c r="T24" t="s">
        <v>146</v>
      </c>
    </row>
    <row r="25" spans="1:20" x14ac:dyDescent="0.25">
      <c r="A25" s="11"/>
      <c r="B25" s="16"/>
      <c r="C25" s="8"/>
      <c r="D25" s="10"/>
      <c r="E25" s="8"/>
      <c r="F25" s="10"/>
      <c r="G25" s="10"/>
      <c r="H25" s="10"/>
      <c r="I25" s="10"/>
      <c r="J25" s="10"/>
      <c r="L25" t="s">
        <v>173</v>
      </c>
      <c r="M25" s="104" t="s">
        <v>155</v>
      </c>
      <c r="N25" s="104" t="s">
        <v>136</v>
      </c>
      <c r="O25" s="122">
        <v>2194.8900000000003</v>
      </c>
      <c r="P25" s="126" t="s">
        <v>31</v>
      </c>
      <c r="Q25" s="128">
        <v>0.04</v>
      </c>
      <c r="R25" s="130">
        <v>15.16</v>
      </c>
      <c r="S25" t="s">
        <v>146</v>
      </c>
      <c r="T25" t="s">
        <v>146</v>
      </c>
    </row>
    <row r="26" spans="1:20" x14ac:dyDescent="0.25">
      <c r="A26" s="11"/>
      <c r="B26" s="11"/>
      <c r="C26" s="8"/>
      <c r="D26" s="10"/>
      <c r="E26" s="8"/>
      <c r="F26" s="10"/>
      <c r="G26" s="10"/>
      <c r="H26" s="10"/>
      <c r="I26" s="10"/>
      <c r="J26" s="10"/>
      <c r="L26" t="s">
        <v>174</v>
      </c>
      <c r="M26" s="104" t="s">
        <v>155</v>
      </c>
      <c r="N26" s="104" t="s">
        <v>136</v>
      </c>
      <c r="O26" s="122">
        <v>2199.09</v>
      </c>
      <c r="P26" s="126" t="s">
        <v>31</v>
      </c>
      <c r="Q26" s="128">
        <v>7.0000000000000007E-2</v>
      </c>
      <c r="R26" s="130">
        <v>13.66</v>
      </c>
      <c r="S26" t="s">
        <v>152</v>
      </c>
      <c r="T26" t="s">
        <v>149</v>
      </c>
    </row>
    <row r="27" spans="1:20" x14ac:dyDescent="0.25">
      <c r="L27" t="s">
        <v>175</v>
      </c>
      <c r="M27" s="104" t="s">
        <v>155</v>
      </c>
      <c r="N27" s="104" t="s">
        <v>136</v>
      </c>
      <c r="O27" s="122">
        <v>2198.1299999999997</v>
      </c>
      <c r="P27" s="126" t="s">
        <v>31</v>
      </c>
      <c r="Q27" s="128">
        <v>7.0000000000000007E-2</v>
      </c>
      <c r="R27" s="130">
        <v>15.61</v>
      </c>
      <c r="S27" t="s">
        <v>152</v>
      </c>
      <c r="T27" t="s">
        <v>149</v>
      </c>
    </row>
    <row r="28" spans="1:20" x14ac:dyDescent="0.25">
      <c r="L28" t="s">
        <v>176</v>
      </c>
      <c r="M28" s="104" t="s">
        <v>155</v>
      </c>
      <c r="N28" s="104" t="s">
        <v>136</v>
      </c>
      <c r="O28" s="122">
        <v>2200.94</v>
      </c>
      <c r="P28" s="126" t="s">
        <v>31</v>
      </c>
      <c r="Q28" s="128">
        <v>0.05</v>
      </c>
      <c r="R28" s="130">
        <v>11.74</v>
      </c>
      <c r="S28" t="s">
        <v>151</v>
      </c>
      <c r="T28" t="s">
        <v>146</v>
      </c>
    </row>
    <row r="29" spans="1:20" x14ac:dyDescent="0.25">
      <c r="L29" t="s">
        <v>177</v>
      </c>
      <c r="M29" s="104" t="s">
        <v>155</v>
      </c>
      <c r="N29" s="104" t="s">
        <v>136</v>
      </c>
      <c r="O29" s="122">
        <v>2203.3399999999997</v>
      </c>
      <c r="P29" s="126" t="s">
        <v>31</v>
      </c>
      <c r="Q29" s="128">
        <v>0.04</v>
      </c>
      <c r="R29" s="130">
        <v>11.87</v>
      </c>
      <c r="S29" t="s">
        <v>146</v>
      </c>
      <c r="T29" t="s">
        <v>146</v>
      </c>
    </row>
    <row r="30" spans="1:20" x14ac:dyDescent="0.25">
      <c r="L30" t="s">
        <v>178</v>
      </c>
      <c r="M30" s="104" t="s">
        <v>155</v>
      </c>
      <c r="N30" s="104" t="s">
        <v>136</v>
      </c>
      <c r="O30" s="122">
        <v>2203.3000000000002</v>
      </c>
      <c r="P30" s="126" t="s">
        <v>31</v>
      </c>
      <c r="Q30" s="128">
        <v>0.06</v>
      </c>
      <c r="R30" s="130">
        <v>13.35</v>
      </c>
      <c r="S30" t="s">
        <v>151</v>
      </c>
      <c r="T30" t="s">
        <v>146</v>
      </c>
    </row>
    <row r="31" spans="1:20" x14ac:dyDescent="0.25">
      <c r="L31" t="s">
        <v>179</v>
      </c>
      <c r="M31" s="104" t="s">
        <v>156</v>
      </c>
      <c r="N31" s="104" t="s">
        <v>138</v>
      </c>
      <c r="O31" s="122">
        <v>2206.0165999999999</v>
      </c>
      <c r="P31" s="126" t="s">
        <v>31</v>
      </c>
      <c r="Q31" s="128">
        <v>0.04</v>
      </c>
      <c r="R31" s="130">
        <v>12.49</v>
      </c>
      <c r="S31" t="s">
        <v>147</v>
      </c>
      <c r="T31" t="s">
        <v>147</v>
      </c>
    </row>
    <row r="32" spans="1:20" x14ac:dyDescent="0.25">
      <c r="L32" t="s">
        <v>180</v>
      </c>
      <c r="M32" s="104" t="s">
        <v>155</v>
      </c>
      <c r="N32" s="104" t="s">
        <v>136</v>
      </c>
      <c r="O32" s="122">
        <v>2216.4699999999998</v>
      </c>
      <c r="P32" s="126" t="s">
        <v>31</v>
      </c>
      <c r="Q32" s="128">
        <v>0.04</v>
      </c>
      <c r="R32" s="130">
        <v>11.75</v>
      </c>
      <c r="S32" t="s">
        <v>151</v>
      </c>
      <c r="T32" t="s">
        <v>146</v>
      </c>
    </row>
    <row r="33" spans="12:20" x14ac:dyDescent="0.25">
      <c r="L33" t="s">
        <v>181</v>
      </c>
      <c r="M33" s="104" t="s">
        <v>156</v>
      </c>
      <c r="N33" s="104" t="s">
        <v>139</v>
      </c>
      <c r="O33" s="122">
        <v>2193.5500000000002</v>
      </c>
      <c r="P33" s="126" t="s">
        <v>31</v>
      </c>
      <c r="Q33" s="128">
        <v>0.03</v>
      </c>
      <c r="R33" s="130">
        <v>27.73</v>
      </c>
      <c r="S33" t="s">
        <v>147</v>
      </c>
      <c r="T33" t="s">
        <v>147</v>
      </c>
    </row>
    <row r="34" spans="12:20" x14ac:dyDescent="0.25">
      <c r="L34" t="s">
        <v>182</v>
      </c>
      <c r="M34" s="104" t="s">
        <v>156</v>
      </c>
      <c r="N34" s="104" t="s">
        <v>138</v>
      </c>
      <c r="O34" s="122">
        <v>2247.4183000000003</v>
      </c>
      <c r="P34" s="126" t="s">
        <v>31</v>
      </c>
      <c r="Q34" s="128">
        <v>0.02</v>
      </c>
      <c r="R34" s="130">
        <v>9.09</v>
      </c>
      <c r="S34" s="109" t="s">
        <v>153</v>
      </c>
      <c r="T34" t="s">
        <v>147</v>
      </c>
    </row>
    <row r="35" spans="12:20" x14ac:dyDescent="0.25">
      <c r="L35" t="s">
        <v>183</v>
      </c>
      <c r="M35" s="104" t="s">
        <v>155</v>
      </c>
      <c r="N35" s="104" t="s">
        <v>136</v>
      </c>
      <c r="O35" s="122">
        <v>2251.6061999999997</v>
      </c>
      <c r="P35" s="126" t="s">
        <v>31</v>
      </c>
      <c r="Q35" s="128">
        <v>0.04</v>
      </c>
      <c r="R35" s="130">
        <v>13.67</v>
      </c>
      <c r="S35" s="109" t="s">
        <v>146</v>
      </c>
      <c r="T35" t="s">
        <v>146</v>
      </c>
    </row>
    <row r="36" spans="12:20" x14ac:dyDescent="0.25">
      <c r="L36" t="s">
        <v>184</v>
      </c>
      <c r="M36" s="104" t="s">
        <v>155</v>
      </c>
      <c r="N36" s="104" t="s">
        <v>136</v>
      </c>
      <c r="O36" s="122">
        <v>2256.9686000000002</v>
      </c>
      <c r="P36" s="126" t="s">
        <v>31</v>
      </c>
      <c r="Q36" s="128">
        <v>0.05</v>
      </c>
      <c r="R36" s="130">
        <v>22.37</v>
      </c>
      <c r="S36" s="109" t="s">
        <v>146</v>
      </c>
      <c r="T36" t="s">
        <v>150</v>
      </c>
    </row>
    <row r="37" spans="12:20" x14ac:dyDescent="0.25">
      <c r="L37" t="s">
        <v>185</v>
      </c>
      <c r="M37" s="104" t="s">
        <v>156</v>
      </c>
      <c r="N37" s="104" t="s">
        <v>140</v>
      </c>
      <c r="O37" s="122">
        <v>2260.1460999999999</v>
      </c>
      <c r="P37" s="126" t="s">
        <v>31</v>
      </c>
      <c r="Q37" s="128">
        <v>0.04</v>
      </c>
      <c r="R37" s="130">
        <v>30.25</v>
      </c>
      <c r="S37" s="109" t="s">
        <v>147</v>
      </c>
      <c r="T37" t="s">
        <v>147</v>
      </c>
    </row>
    <row r="38" spans="12:20" x14ac:dyDescent="0.25">
      <c r="L38" t="s">
        <v>186</v>
      </c>
      <c r="M38" s="104" t="s">
        <v>155</v>
      </c>
      <c r="N38" s="104" t="s">
        <v>136</v>
      </c>
      <c r="O38" s="122">
        <v>2274.2468000000003</v>
      </c>
      <c r="P38" s="126" t="s">
        <v>31</v>
      </c>
      <c r="Q38" s="128">
        <v>0.08</v>
      </c>
      <c r="R38" s="130">
        <v>22.24</v>
      </c>
      <c r="S38" s="109" t="s">
        <v>151</v>
      </c>
      <c r="T38" t="s">
        <v>147</v>
      </c>
    </row>
    <row r="39" spans="12:20" x14ac:dyDescent="0.25">
      <c r="L39" t="s">
        <v>187</v>
      </c>
      <c r="M39" s="104" t="s">
        <v>155</v>
      </c>
      <c r="N39" s="104" t="s">
        <v>136</v>
      </c>
      <c r="O39" s="122">
        <v>2277.672</v>
      </c>
      <c r="P39" s="126" t="s">
        <v>32</v>
      </c>
      <c r="Q39" s="128">
        <v>0.03</v>
      </c>
      <c r="R39" s="130">
        <v>17.059999999999999</v>
      </c>
      <c r="S39" s="109" t="s">
        <v>146</v>
      </c>
      <c r="T39" t="s">
        <v>151</v>
      </c>
    </row>
    <row r="40" spans="12:20" x14ac:dyDescent="0.25">
      <c r="L40" t="s">
        <v>188</v>
      </c>
      <c r="M40" s="104" t="s">
        <v>155</v>
      </c>
      <c r="N40" s="104" t="s">
        <v>136</v>
      </c>
      <c r="O40" s="122">
        <v>2294.6457</v>
      </c>
      <c r="P40" s="126" t="s">
        <v>31</v>
      </c>
      <c r="Q40" s="128">
        <v>0.08</v>
      </c>
      <c r="R40" s="130">
        <v>13.29</v>
      </c>
      <c r="S40" s="109" t="s">
        <v>151</v>
      </c>
      <c r="T40" t="s">
        <v>150</v>
      </c>
    </row>
    <row r="41" spans="12:20" x14ac:dyDescent="0.25">
      <c r="L41" t="s">
        <v>189</v>
      </c>
      <c r="M41" s="104" t="s">
        <v>156</v>
      </c>
      <c r="N41" s="104" t="s">
        <v>138</v>
      </c>
      <c r="O41" s="122">
        <v>2292.8953000000001</v>
      </c>
      <c r="P41" s="127" t="s">
        <v>31</v>
      </c>
      <c r="Q41" s="128">
        <v>0.04</v>
      </c>
      <c r="R41" s="130">
        <v>13.42</v>
      </c>
      <c r="S41" s="109" t="s">
        <v>153</v>
      </c>
      <c r="T41" t="s">
        <v>150</v>
      </c>
    </row>
    <row r="42" spans="12:20" x14ac:dyDescent="0.25">
      <c r="L42" t="s">
        <v>190</v>
      </c>
      <c r="M42" s="104" t="s">
        <v>156</v>
      </c>
      <c r="N42" s="104" t="s">
        <v>141</v>
      </c>
      <c r="O42" s="122">
        <v>2286.9699999999998</v>
      </c>
      <c r="P42" s="127" t="s">
        <v>31</v>
      </c>
      <c r="Q42" s="128">
        <v>0.05</v>
      </c>
      <c r="R42" s="130">
        <v>12.89</v>
      </c>
      <c r="S42" s="109" t="s">
        <v>147</v>
      </c>
      <c r="T42" t="s">
        <v>147</v>
      </c>
    </row>
    <row r="43" spans="12:20" x14ac:dyDescent="0.25">
      <c r="L43" t="s">
        <v>191</v>
      </c>
      <c r="M43" s="104" t="s">
        <v>155</v>
      </c>
      <c r="N43" s="104" t="s">
        <v>136</v>
      </c>
      <c r="O43" s="122">
        <v>2315.9612999999999</v>
      </c>
      <c r="P43" s="126" t="s">
        <v>31</v>
      </c>
      <c r="Q43" s="128">
        <v>0.03</v>
      </c>
      <c r="R43" s="130">
        <v>17.79</v>
      </c>
      <c r="S43" s="110" t="s">
        <v>146</v>
      </c>
      <c r="T43" t="s">
        <v>146</v>
      </c>
    </row>
    <row r="44" spans="12:20" x14ac:dyDescent="0.25">
      <c r="L44" t="s">
        <v>192</v>
      </c>
      <c r="M44" s="104" t="s">
        <v>155</v>
      </c>
      <c r="N44" s="104" t="s">
        <v>136</v>
      </c>
      <c r="O44" s="122">
        <v>2317.1918999999998</v>
      </c>
      <c r="P44" s="126" t="s">
        <v>31</v>
      </c>
      <c r="Q44" s="128">
        <v>0.04</v>
      </c>
      <c r="R44" s="130">
        <v>21.45</v>
      </c>
      <c r="S44" s="110" t="s">
        <v>151</v>
      </c>
      <c r="T44" t="s">
        <v>146</v>
      </c>
    </row>
    <row r="45" spans="12:20" x14ac:dyDescent="0.25">
      <c r="L45" t="s">
        <v>193</v>
      </c>
      <c r="M45" s="104" t="s">
        <v>155</v>
      </c>
      <c r="N45" s="104" t="s">
        <v>136</v>
      </c>
      <c r="O45" s="122">
        <v>2333.67</v>
      </c>
      <c r="P45" s="126" t="s">
        <v>31</v>
      </c>
      <c r="Q45" s="128">
        <v>0.04</v>
      </c>
      <c r="R45" s="130">
        <v>12.22</v>
      </c>
      <c r="S45" s="110" t="s">
        <v>151</v>
      </c>
      <c r="T45" t="s">
        <v>146</v>
      </c>
    </row>
    <row r="46" spans="12:20" x14ac:dyDescent="0.25">
      <c r="L46" t="s">
        <v>194</v>
      </c>
      <c r="M46" s="104" t="s">
        <v>156</v>
      </c>
      <c r="N46" s="104" t="s">
        <v>142</v>
      </c>
      <c r="O46" s="122">
        <v>2322.3586</v>
      </c>
      <c r="P46" s="127" t="s">
        <v>145</v>
      </c>
      <c r="Q46" s="128">
        <v>0.04</v>
      </c>
      <c r="R46" s="130">
        <v>15.04</v>
      </c>
      <c r="S46" s="110" t="s">
        <v>147</v>
      </c>
      <c r="T46" t="s">
        <v>147</v>
      </c>
    </row>
    <row r="47" spans="12:20" x14ac:dyDescent="0.25">
      <c r="L47" t="s">
        <v>195</v>
      </c>
      <c r="M47" s="104" t="s">
        <v>155</v>
      </c>
      <c r="N47" s="104" t="s">
        <v>136</v>
      </c>
      <c r="O47" s="122">
        <v>2360.2078000000001</v>
      </c>
      <c r="P47" s="126" t="s">
        <v>32</v>
      </c>
      <c r="Q47" s="128">
        <v>0.05</v>
      </c>
      <c r="R47" s="130">
        <v>10.92</v>
      </c>
      <c r="S47" s="110" t="s">
        <v>146</v>
      </c>
      <c r="T47" t="s">
        <v>151</v>
      </c>
    </row>
    <row r="48" spans="12:20" x14ac:dyDescent="0.25">
      <c r="L48" t="s">
        <v>196</v>
      </c>
      <c r="M48" s="104" t="s">
        <v>155</v>
      </c>
      <c r="N48" s="104" t="s">
        <v>136</v>
      </c>
      <c r="O48" s="122">
        <v>2367.7977000000001</v>
      </c>
      <c r="P48" s="126" t="s">
        <v>32</v>
      </c>
      <c r="Q48" s="128">
        <v>0.04</v>
      </c>
      <c r="R48" s="130">
        <v>11.41</v>
      </c>
      <c r="S48" s="110" t="s">
        <v>146</v>
      </c>
      <c r="T48" t="s">
        <v>151</v>
      </c>
    </row>
    <row r="49" spans="12:20" x14ac:dyDescent="0.25">
      <c r="L49" t="s">
        <v>197</v>
      </c>
      <c r="M49" s="104" t="s">
        <v>155</v>
      </c>
      <c r="N49" s="104" t="s">
        <v>136</v>
      </c>
      <c r="O49" s="122">
        <v>2391.6931</v>
      </c>
      <c r="P49" s="126" t="s">
        <v>32</v>
      </c>
      <c r="Q49" s="128">
        <v>0.04</v>
      </c>
      <c r="R49" s="130">
        <v>12.85</v>
      </c>
      <c r="S49" s="110" t="s">
        <v>154</v>
      </c>
      <c r="T49" t="s">
        <v>151</v>
      </c>
    </row>
    <row r="50" spans="12:20" x14ac:dyDescent="0.25">
      <c r="L50" t="s">
        <v>198</v>
      </c>
      <c r="M50" s="104" t="s">
        <v>156</v>
      </c>
      <c r="N50" s="104" t="s">
        <v>136</v>
      </c>
      <c r="O50" s="122">
        <v>2453.2044000000001</v>
      </c>
      <c r="P50" s="127" t="s">
        <v>31</v>
      </c>
      <c r="Q50" s="128">
        <v>0.04</v>
      </c>
      <c r="R50" s="130">
        <v>15.65</v>
      </c>
      <c r="S50" s="110" t="s">
        <v>153</v>
      </c>
      <c r="T50" t="s">
        <v>147</v>
      </c>
    </row>
    <row r="51" spans="12:20" x14ac:dyDescent="0.25">
      <c r="L51" t="s">
        <v>199</v>
      </c>
      <c r="M51" s="104" t="s">
        <v>156</v>
      </c>
      <c r="N51" s="104" t="s">
        <v>143</v>
      </c>
      <c r="O51" s="122">
        <v>2506.9817000000003</v>
      </c>
      <c r="P51" s="127" t="s">
        <v>31</v>
      </c>
      <c r="Q51" s="128">
        <v>0.03</v>
      </c>
      <c r="R51" s="130">
        <v>10.11</v>
      </c>
      <c r="S51" s="110" t="s">
        <v>153</v>
      </c>
      <c r="T51" t="s">
        <v>147</v>
      </c>
    </row>
    <row r="52" spans="12:20" x14ac:dyDescent="0.25">
      <c r="L52" t="s">
        <v>200</v>
      </c>
      <c r="M52" s="104" t="s">
        <v>156</v>
      </c>
      <c r="N52" s="104" t="s">
        <v>138</v>
      </c>
      <c r="O52" s="122">
        <v>2522.5464999999999</v>
      </c>
      <c r="P52" s="127" t="s">
        <v>31</v>
      </c>
      <c r="Q52" s="128">
        <v>0.04</v>
      </c>
      <c r="R52" s="130">
        <v>9.93</v>
      </c>
      <c r="S52" s="110" t="s">
        <v>153</v>
      </c>
      <c r="T52" t="s">
        <v>147</v>
      </c>
    </row>
    <row r="53" spans="12:20" x14ac:dyDescent="0.25">
      <c r="L53" t="s">
        <v>201</v>
      </c>
      <c r="M53" s="105" t="s">
        <v>155</v>
      </c>
      <c r="N53" s="105" t="s">
        <v>136</v>
      </c>
      <c r="O53" s="122">
        <v>2553.2025000000003</v>
      </c>
      <c r="P53" s="127" t="s">
        <v>31</v>
      </c>
      <c r="Q53" s="128">
        <v>0.04</v>
      </c>
      <c r="R53" s="131">
        <v>16.649999999999999</v>
      </c>
      <c r="S53" s="110" t="s">
        <v>151</v>
      </c>
      <c r="T53" t="s">
        <v>146</v>
      </c>
    </row>
  </sheetData>
  <mergeCells count="2">
    <mergeCell ref="AR6:AS6"/>
    <mergeCell ref="AU6:AV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X35"/>
  <sheetViews>
    <sheetView zoomScale="85" zoomScaleNormal="85" workbookViewId="0">
      <selection activeCell="D8" sqref="D8"/>
    </sheetView>
  </sheetViews>
  <sheetFormatPr defaultRowHeight="15" x14ac:dyDescent="0.25"/>
  <cols>
    <col min="1" max="1" width="3.42578125" customWidth="1"/>
    <col min="2" max="2" width="11.140625" customWidth="1"/>
    <col min="3" max="3" width="13.5703125" customWidth="1"/>
    <col min="4" max="4" width="18.42578125" customWidth="1"/>
    <col min="5" max="5" width="9.5703125" customWidth="1"/>
    <col min="6" max="6" width="9.140625" customWidth="1"/>
    <col min="7" max="9" width="17.140625" customWidth="1"/>
    <col min="10" max="10" width="15.140625" customWidth="1"/>
    <col min="12" max="12" width="23.7109375" customWidth="1"/>
    <col min="13" max="13" width="9" customWidth="1"/>
    <col min="14" max="14" width="14.28515625" bestFit="1" customWidth="1"/>
    <col min="18" max="18" width="14.28515625" bestFit="1" customWidth="1"/>
    <col min="50" max="50" width="12.42578125" bestFit="1" customWidth="1"/>
  </cols>
  <sheetData>
    <row r="1" spans="1:50" ht="17.25" x14ac:dyDescent="0.25">
      <c r="A1" s="1" t="s">
        <v>8</v>
      </c>
      <c r="B1" s="2"/>
      <c r="C1" s="2"/>
      <c r="D1" s="3" t="s">
        <v>9</v>
      </c>
      <c r="E1" s="4" t="s">
        <v>10</v>
      </c>
      <c r="F1" s="2"/>
      <c r="G1" s="24"/>
      <c r="H1" s="24"/>
      <c r="I1" s="24"/>
      <c r="J1" s="2"/>
      <c r="K1" s="2"/>
      <c r="L1" s="5"/>
      <c r="M1" s="5"/>
      <c r="N1" s="5"/>
    </row>
    <row r="2" spans="1:50" x14ac:dyDescent="0.25">
      <c r="A2" s="7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P2" s="9"/>
    </row>
    <row r="3" spans="1:50" x14ac:dyDescent="0.25">
      <c r="A3" s="8"/>
      <c r="B3" s="32" t="s">
        <v>11</v>
      </c>
      <c r="C3" s="21"/>
      <c r="D3" s="6"/>
      <c r="E3" s="6"/>
      <c r="F3" s="6"/>
      <c r="G3" s="6"/>
      <c r="H3" s="6"/>
      <c r="I3" s="6"/>
      <c r="J3" s="6" t="str">
        <f>IF(L2="R","Right","Left")</f>
        <v>Left</v>
      </c>
      <c r="K3" s="6"/>
      <c r="L3" s="6"/>
      <c r="P3" s="9"/>
    </row>
    <row r="4" spans="1:50" x14ac:dyDescent="0.25">
      <c r="A4" s="6"/>
      <c r="B4" s="26" t="str">
        <f>CONCATENATE("Chainage"," ","-"," ",TEXT(C19,"0+000"))</f>
        <v>Chainage - 98+760</v>
      </c>
      <c r="C4" s="27"/>
      <c r="D4" s="6"/>
      <c r="E4" s="23"/>
      <c r="F4" s="23"/>
      <c r="G4" s="6"/>
      <c r="H4" s="6"/>
      <c r="I4" s="6"/>
      <c r="J4" s="6"/>
      <c r="K4" s="6"/>
      <c r="L4" s="6"/>
      <c r="P4" s="9"/>
    </row>
    <row r="5" spans="1:50" x14ac:dyDescent="0.25">
      <c r="A5" s="6"/>
      <c r="B5" s="26" t="str">
        <f>CONCATENATE("Name"," ","-"," ","Slab Culvert @",H19)</f>
        <v>Name - Slab Culvert @ Grade</v>
      </c>
      <c r="C5" s="28"/>
      <c r="D5" s="6"/>
      <c r="E5" s="23"/>
      <c r="F5" s="23"/>
      <c r="G5" s="6"/>
      <c r="H5" s="6"/>
      <c r="I5" s="6"/>
      <c r="J5" s="6"/>
      <c r="K5" s="6"/>
      <c r="L5" s="6"/>
      <c r="P5" s="9"/>
    </row>
    <row r="6" spans="1:50" x14ac:dyDescent="0.25">
      <c r="A6" s="6"/>
      <c r="B6" s="26" t="str">
        <f>CONCATENATE("No of Cell"," ","-"," ",[2]SLB_CU!$F$6)</f>
        <v>No of Cell - One</v>
      </c>
      <c r="C6" s="28"/>
      <c r="D6" s="6" t="s">
        <v>38</v>
      </c>
      <c r="E6" s="23"/>
      <c r="F6" s="23"/>
      <c r="G6" s="6"/>
      <c r="H6" s="6"/>
      <c r="I6" s="6"/>
      <c r="J6" s="6"/>
      <c r="K6" s="6"/>
      <c r="L6" s="6"/>
      <c r="P6" s="9"/>
      <c r="Q6" s="9"/>
      <c r="R6" s="9"/>
      <c r="AT6" s="112"/>
      <c r="AU6" s="112"/>
      <c r="AW6" s="112"/>
      <c r="AX6" s="112"/>
    </row>
    <row r="7" spans="1:50" x14ac:dyDescent="0.25">
      <c r="A7" s="6"/>
      <c r="B7" s="26" t="str">
        <f>CONCATENATE("Clear Span"," ","-"," ",E19,"m")</f>
        <v>Clear Span - 1.5m</v>
      </c>
      <c r="C7" s="29"/>
      <c r="D7" s="6"/>
      <c r="E7" s="6"/>
      <c r="F7" s="6"/>
      <c r="G7" s="6"/>
      <c r="H7" s="6"/>
      <c r="I7" s="6"/>
      <c r="J7" s="6"/>
      <c r="K7" s="6"/>
      <c r="L7" s="6"/>
      <c r="P7" s="9"/>
      <c r="Q7" s="9"/>
      <c r="R7" s="9"/>
      <c r="AT7" s="13"/>
      <c r="AU7" s="13"/>
      <c r="AW7" s="13"/>
      <c r="AX7" s="14"/>
    </row>
    <row r="8" spans="1:50" x14ac:dyDescent="0.25">
      <c r="A8" s="6"/>
      <c r="B8" s="26" t="str">
        <f>CONCATENATE("Clear Height"," ","-"," ",F19,"m")</f>
        <v>Clear Height - 1.5m</v>
      </c>
      <c r="C8" s="29"/>
      <c r="D8" s="6"/>
      <c r="E8" s="6"/>
      <c r="F8" s="6"/>
      <c r="G8" s="6"/>
      <c r="H8" s="6"/>
      <c r="I8" s="6"/>
      <c r="J8" s="6"/>
      <c r="K8" s="6"/>
      <c r="L8" s="6"/>
      <c r="AT8" s="13"/>
      <c r="AU8" s="13"/>
      <c r="AW8" s="14"/>
      <c r="AX8" s="15"/>
    </row>
    <row r="9" spans="1:50" x14ac:dyDescent="0.25">
      <c r="A9" s="6"/>
      <c r="B9" s="26" t="str">
        <f>CONCATENATE("Skew Angle"," ","-"," ",G19,"°")</f>
        <v>Skew Angle - 0°</v>
      </c>
      <c r="C9" s="29"/>
      <c r="D9" s="6"/>
      <c r="E9" s="6"/>
      <c r="F9" s="6"/>
      <c r="G9" s="6"/>
      <c r="H9" s="6"/>
      <c r="I9" s="6"/>
      <c r="J9" s="6"/>
      <c r="K9" s="6"/>
      <c r="L9" s="6"/>
      <c r="AT9" s="13"/>
      <c r="AU9" s="13"/>
      <c r="AW9" s="14"/>
      <c r="AX9" s="15"/>
    </row>
    <row r="10" spans="1:50" x14ac:dyDescent="0.25">
      <c r="A10" s="6"/>
      <c r="B10" s="26" t="str">
        <f>CONCATENATE("Slab length"," ","-"," ",TEXT(J19,"0.00"),"m")</f>
        <v>Slab length - 21.78m</v>
      </c>
      <c r="C10" s="29"/>
      <c r="D10" s="6"/>
      <c r="E10" s="6"/>
      <c r="F10" s="6"/>
      <c r="G10" s="25"/>
      <c r="H10" s="25"/>
      <c r="I10" s="25"/>
      <c r="J10" s="6"/>
      <c r="K10" s="6"/>
      <c r="L10" s="6"/>
      <c r="AT10" s="13"/>
      <c r="AU10" s="13"/>
      <c r="AW10" s="14"/>
      <c r="AX10" s="15"/>
    </row>
    <row r="11" spans="1:50" x14ac:dyDescent="0.25">
      <c r="A11" s="6"/>
      <c r="B11" s="26" t="str">
        <f>CONCATENATE("Invert Slope"," ","="," ",ABS(K19),"%"," to the ",IF(I19="R","Right","Left"))</f>
        <v>Invert Slope = 0.5% to the Right</v>
      </c>
      <c r="C11" s="29"/>
      <c r="D11" s="6"/>
      <c r="E11" s="6"/>
      <c r="F11" s="6"/>
      <c r="G11" s="6"/>
      <c r="H11" s="6"/>
      <c r="I11" s="6"/>
      <c r="J11" s="6"/>
      <c r="K11" s="6"/>
      <c r="L11" s="6"/>
      <c r="AT11" s="13"/>
      <c r="AU11" s="13"/>
      <c r="AW11" s="14"/>
      <c r="AX11" s="15"/>
    </row>
    <row r="12" spans="1:50" x14ac:dyDescent="0.25">
      <c r="A12" s="6"/>
      <c r="B12" s="26" t="str">
        <f>CONCATENATE("Design Elevation"," ","="," ",TEXT(L19,"0.0000"))</f>
        <v>Design Elevation = 1739.8820</v>
      </c>
      <c r="C12" s="29"/>
      <c r="D12" s="6"/>
      <c r="E12" s="6"/>
      <c r="F12" s="6"/>
      <c r="G12" s="6"/>
      <c r="H12" s="6"/>
      <c r="I12" s="6"/>
      <c r="J12" s="6"/>
      <c r="K12" s="6"/>
      <c r="L12" s="6"/>
      <c r="AT12" s="13"/>
      <c r="AU12" s="13"/>
      <c r="AW12" s="14"/>
      <c r="AX12" s="15"/>
    </row>
    <row r="13" spans="1:50" x14ac:dyDescent="0.25">
      <c r="A13" s="6"/>
      <c r="B13" s="30" t="str">
        <f>CONCATENATE("Invert Elevation"," ","="," ",TEXT(M19,"0.0000"))</f>
        <v>Invert Elevation = 1737.6710</v>
      </c>
      <c r="C13" s="22"/>
      <c r="D13" s="6"/>
      <c r="E13" s="6"/>
      <c r="F13" s="6"/>
      <c r="G13" s="6"/>
      <c r="H13" s="6"/>
      <c r="I13" s="6"/>
      <c r="J13" s="6"/>
      <c r="K13" s="6"/>
      <c r="L13" s="6"/>
    </row>
    <row r="14" spans="1:50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1:50" x14ac:dyDescent="0.25">
      <c r="A15" s="11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1:50" x14ac:dyDescent="0.25">
      <c r="A16" s="11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1:13" x14ac:dyDescent="0.25">
      <c r="A17" s="11"/>
      <c r="B17" s="6"/>
      <c r="C17" s="36" t="s">
        <v>15</v>
      </c>
      <c r="D17" s="37"/>
      <c r="E17" s="37"/>
      <c r="F17" s="38"/>
    </row>
    <row r="18" spans="1:13" x14ac:dyDescent="0.25">
      <c r="A18" s="11"/>
      <c r="B18" s="6"/>
      <c r="C18" s="13" t="s">
        <v>16</v>
      </c>
      <c r="D18" s="13" t="s">
        <v>17</v>
      </c>
      <c r="E18" s="13" t="s">
        <v>35</v>
      </c>
      <c r="F18" s="13" t="s">
        <v>18</v>
      </c>
      <c r="G18" s="13" t="s">
        <v>19</v>
      </c>
      <c r="H18" s="13" t="s">
        <v>26</v>
      </c>
      <c r="I18" s="13" t="s">
        <v>30</v>
      </c>
      <c r="J18" s="13" t="s">
        <v>20</v>
      </c>
      <c r="K18" s="13" t="s">
        <v>21</v>
      </c>
      <c r="L18" s="13" t="s">
        <v>22</v>
      </c>
      <c r="M18" s="13" t="s">
        <v>23</v>
      </c>
    </row>
    <row r="19" spans="1:13" x14ac:dyDescent="0.25">
      <c r="A19" s="11"/>
      <c r="B19" s="11"/>
      <c r="C19" s="39">
        <v>98760</v>
      </c>
      <c r="D19" s="41">
        <v>1</v>
      </c>
      <c r="E19" s="41">
        <v>1.5</v>
      </c>
      <c r="F19" s="41">
        <v>1.5</v>
      </c>
      <c r="G19" s="49">
        <v>0</v>
      </c>
      <c r="H19" s="54" t="s">
        <v>27</v>
      </c>
      <c r="I19" s="41" t="s">
        <v>31</v>
      </c>
      <c r="J19" s="59">
        <v>21.780000099999995</v>
      </c>
      <c r="K19" s="54">
        <v>0.5</v>
      </c>
      <c r="L19" s="61">
        <v>1739.8820000000001</v>
      </c>
      <c r="M19" s="60">
        <v>1737.671</v>
      </c>
    </row>
    <row r="20" spans="1:13" x14ac:dyDescent="0.25">
      <c r="A20" s="11"/>
      <c r="B20" s="11"/>
      <c r="C20" s="39">
        <v>98850</v>
      </c>
      <c r="D20" s="41">
        <v>1</v>
      </c>
      <c r="E20" s="41">
        <v>2</v>
      </c>
      <c r="F20" s="41">
        <v>1.5</v>
      </c>
      <c r="G20" s="49">
        <v>0</v>
      </c>
      <c r="H20" s="54" t="s">
        <v>27</v>
      </c>
      <c r="I20" s="41" t="s">
        <v>32</v>
      </c>
      <c r="J20" s="59">
        <v>19.510000180267554</v>
      </c>
      <c r="K20" s="54">
        <v>0.5</v>
      </c>
      <c r="L20" s="61">
        <v>1738.3040000000001</v>
      </c>
      <c r="M20">
        <v>1736.0930000000001</v>
      </c>
    </row>
    <row r="21" spans="1:13" x14ac:dyDescent="0.25">
      <c r="A21" s="11"/>
      <c r="B21" s="11"/>
      <c r="C21" s="39">
        <v>100030</v>
      </c>
      <c r="D21" s="42">
        <v>1</v>
      </c>
      <c r="E21" s="42">
        <v>2</v>
      </c>
      <c r="F21" s="42">
        <v>1.2</v>
      </c>
      <c r="G21" s="49">
        <v>10</v>
      </c>
      <c r="H21" s="54" t="s">
        <v>27</v>
      </c>
      <c r="I21" s="42" t="s">
        <v>32</v>
      </c>
      <c r="J21" s="59">
        <v>20.009634539727671</v>
      </c>
      <c r="K21" s="54">
        <v>0.5</v>
      </c>
      <c r="L21">
        <v>1709.9110000000001</v>
      </c>
      <c r="M21">
        <v>1707.9480000000001</v>
      </c>
    </row>
    <row r="22" spans="1:13" x14ac:dyDescent="0.25">
      <c r="A22" s="11"/>
      <c r="B22" s="11"/>
      <c r="C22" s="39">
        <v>100429</v>
      </c>
      <c r="D22" s="41">
        <v>1</v>
      </c>
      <c r="E22" s="41">
        <v>6</v>
      </c>
      <c r="F22" s="41">
        <v>3</v>
      </c>
      <c r="G22" s="50" t="s">
        <v>24</v>
      </c>
      <c r="H22" s="54" t="s">
        <v>29</v>
      </c>
      <c r="I22" s="41" t="s">
        <v>32</v>
      </c>
      <c r="J22" s="59">
        <v>35.064589614447556</v>
      </c>
      <c r="K22" s="54">
        <v>1</v>
      </c>
      <c r="L22">
        <v>1699.6410000000001</v>
      </c>
      <c r="M22">
        <v>1695.336</v>
      </c>
    </row>
    <row r="23" spans="1:13" x14ac:dyDescent="0.25">
      <c r="A23" s="11"/>
      <c r="B23" s="11"/>
      <c r="C23" s="39">
        <v>101120</v>
      </c>
      <c r="D23" s="41">
        <v>1</v>
      </c>
      <c r="E23" s="41">
        <v>2</v>
      </c>
      <c r="F23" s="41">
        <v>1.2</v>
      </c>
      <c r="G23" s="49">
        <v>0</v>
      </c>
      <c r="H23" s="54" t="s">
        <v>29</v>
      </c>
      <c r="I23" s="41" t="s">
        <v>32</v>
      </c>
      <c r="J23" s="59">
        <v>19.510000201845912</v>
      </c>
      <c r="K23" s="54">
        <v>0.5</v>
      </c>
      <c r="L23" s="61">
        <v>1683.845</v>
      </c>
      <c r="M23">
        <v>1681.662</v>
      </c>
    </row>
    <row r="24" spans="1:13" x14ac:dyDescent="0.25">
      <c r="A24" s="11"/>
      <c r="B24" s="11"/>
      <c r="C24" s="39">
        <v>101492</v>
      </c>
      <c r="D24" s="41">
        <v>1</v>
      </c>
      <c r="E24" s="41">
        <v>2</v>
      </c>
      <c r="F24" s="41">
        <v>1.2</v>
      </c>
      <c r="G24" s="49"/>
      <c r="H24" s="54" t="s">
        <v>29</v>
      </c>
      <c r="I24" s="41" t="s">
        <v>32</v>
      </c>
      <c r="J24" s="59">
        <v>19.510000114053582</v>
      </c>
      <c r="K24" s="54">
        <v>0.5</v>
      </c>
      <c r="L24" s="61">
        <v>1677.1410000000001</v>
      </c>
      <c r="M24">
        <v>1674.9590000000001</v>
      </c>
    </row>
    <row r="25" spans="1:13" x14ac:dyDescent="0.25">
      <c r="A25" s="11"/>
      <c r="B25" s="16"/>
      <c r="C25" s="39">
        <v>101570</v>
      </c>
      <c r="D25" s="43">
        <v>1</v>
      </c>
      <c r="E25" s="43">
        <v>3</v>
      </c>
      <c r="F25" s="43">
        <v>1.5</v>
      </c>
      <c r="G25" s="51">
        <v>0</v>
      </c>
      <c r="H25" s="54" t="s">
        <v>28</v>
      </c>
      <c r="I25" s="43" t="s">
        <v>32</v>
      </c>
      <c r="J25" s="59">
        <v>19.510002692765433</v>
      </c>
      <c r="K25" s="56">
        <v>0.5</v>
      </c>
      <c r="L25" s="61">
        <v>1675.498</v>
      </c>
      <c r="M25">
        <v>1673.2570000000001</v>
      </c>
    </row>
    <row r="26" spans="1:13" x14ac:dyDescent="0.25">
      <c r="A26" s="33"/>
      <c r="B26" s="33"/>
      <c r="C26" s="39">
        <v>101800</v>
      </c>
      <c r="D26" s="41">
        <v>1</v>
      </c>
      <c r="E26" s="41">
        <v>2</v>
      </c>
      <c r="F26" s="41">
        <v>1.2</v>
      </c>
      <c r="G26" s="49">
        <v>0</v>
      </c>
      <c r="H26" s="54" t="s">
        <v>29</v>
      </c>
      <c r="I26" s="41" t="s">
        <v>32</v>
      </c>
      <c r="J26" s="59">
        <v>19.510000125968276</v>
      </c>
      <c r="K26" s="54">
        <v>1</v>
      </c>
      <c r="L26" s="61">
        <v>1670.367</v>
      </c>
      <c r="M26">
        <v>1668.1849999999999</v>
      </c>
    </row>
    <row r="27" spans="1:13" x14ac:dyDescent="0.25">
      <c r="C27" s="39">
        <v>102110</v>
      </c>
      <c r="D27" s="41">
        <v>1</v>
      </c>
      <c r="E27" s="41">
        <v>2</v>
      </c>
      <c r="F27" s="41">
        <v>1.2</v>
      </c>
      <c r="G27" s="50" t="s">
        <v>25</v>
      </c>
      <c r="H27" s="54" t="s">
        <v>29</v>
      </c>
      <c r="I27" s="41" t="s">
        <v>31</v>
      </c>
      <c r="J27" s="59">
        <v>26.087500179902861</v>
      </c>
      <c r="K27" s="54">
        <v>1</v>
      </c>
      <c r="L27" s="61">
        <v>1665.5029999999999</v>
      </c>
      <c r="M27">
        <v>1662.94</v>
      </c>
    </row>
    <row r="28" spans="1:13" x14ac:dyDescent="0.25">
      <c r="C28" s="39">
        <v>102930</v>
      </c>
      <c r="D28" s="44">
        <v>1</v>
      </c>
      <c r="E28" s="44">
        <v>2</v>
      </c>
      <c r="F28" s="44">
        <v>1.2</v>
      </c>
      <c r="G28" s="52">
        <v>10</v>
      </c>
      <c r="H28" s="54" t="s">
        <v>28</v>
      </c>
      <c r="I28" s="44" t="s">
        <v>31</v>
      </c>
      <c r="J28" s="59">
        <v>19.928714471357949</v>
      </c>
      <c r="K28" s="55">
        <v>0.5</v>
      </c>
      <c r="L28">
        <v>1650.7429999999999</v>
      </c>
      <c r="M28">
        <v>1648.8579999999999</v>
      </c>
    </row>
    <row r="29" spans="1:13" x14ac:dyDescent="0.25">
      <c r="C29" s="39">
        <v>103380</v>
      </c>
      <c r="D29" s="44">
        <v>1</v>
      </c>
      <c r="E29" s="44">
        <v>3</v>
      </c>
      <c r="F29" s="44">
        <v>2</v>
      </c>
      <c r="G29" s="53">
        <v>0</v>
      </c>
      <c r="H29" s="54" t="s">
        <v>29</v>
      </c>
      <c r="I29" s="44" t="s">
        <v>31</v>
      </c>
      <c r="J29" s="59">
        <v>25.290729981636673</v>
      </c>
      <c r="K29" s="57">
        <v>2</v>
      </c>
      <c r="L29" s="61">
        <v>1642.8510000000001</v>
      </c>
      <c r="M29">
        <v>1639.4639999999999</v>
      </c>
    </row>
    <row r="30" spans="1:13" x14ac:dyDescent="0.25">
      <c r="C30" s="39">
        <v>103700</v>
      </c>
      <c r="D30" s="41">
        <v>1</v>
      </c>
      <c r="E30" s="41">
        <v>2</v>
      </c>
      <c r="F30" s="41">
        <v>1.5</v>
      </c>
      <c r="G30" s="49">
        <v>0</v>
      </c>
      <c r="H30" s="54" t="s">
        <v>29</v>
      </c>
      <c r="I30" s="41" t="s">
        <v>31</v>
      </c>
      <c r="J30" s="59">
        <v>21.195250091894934</v>
      </c>
      <c r="K30" s="54">
        <v>2</v>
      </c>
      <c r="L30" s="61">
        <v>1638.481</v>
      </c>
      <c r="M30">
        <v>1635.923</v>
      </c>
    </row>
    <row r="31" spans="1:13" x14ac:dyDescent="0.25">
      <c r="C31" s="45">
        <v>105001</v>
      </c>
      <c r="D31" s="46">
        <v>1</v>
      </c>
      <c r="E31" s="46">
        <v>2</v>
      </c>
      <c r="F31" s="47">
        <v>1.2</v>
      </c>
      <c r="G31" s="48" t="s">
        <v>34</v>
      </c>
      <c r="H31" s="54" t="s">
        <v>28</v>
      </c>
      <c r="I31" s="46" t="s">
        <v>31</v>
      </c>
      <c r="J31" s="59">
        <v>19.50991825428839</v>
      </c>
      <c r="K31" s="58">
        <v>0.5</v>
      </c>
      <c r="L31" s="61">
        <v>1617.1289999999999</v>
      </c>
      <c r="M31">
        <v>1615.2180000000001</v>
      </c>
    </row>
    <row r="32" spans="1:13" x14ac:dyDescent="0.25">
      <c r="C32" s="113" t="s">
        <v>33</v>
      </c>
      <c r="D32" s="114"/>
      <c r="E32" s="114"/>
      <c r="F32" s="114"/>
      <c r="G32" s="114"/>
      <c r="H32" s="114"/>
      <c r="I32" s="114"/>
      <c r="J32" s="114"/>
      <c r="K32" s="114"/>
      <c r="L32" s="114"/>
      <c r="M32" s="114"/>
    </row>
    <row r="33" spans="3:13" x14ac:dyDescent="0.25">
      <c r="C33" s="40">
        <v>103820</v>
      </c>
      <c r="D33" s="41">
        <v>2</v>
      </c>
      <c r="E33" s="41">
        <v>48</v>
      </c>
      <c r="F33" s="54" t="s">
        <v>36</v>
      </c>
      <c r="G33" s="54" t="s">
        <v>37</v>
      </c>
      <c r="I33" s="46" t="s">
        <v>31</v>
      </c>
      <c r="J33" s="59">
        <v>22.09734110214012</v>
      </c>
      <c r="K33" s="58">
        <v>3</v>
      </c>
      <c r="L33" s="61">
        <v>1636.52</v>
      </c>
      <c r="M33" s="9">
        <v>1634.192</v>
      </c>
    </row>
    <row r="34" spans="3:13" x14ac:dyDescent="0.25">
      <c r="C34" s="40">
        <v>103990</v>
      </c>
      <c r="D34" s="41">
        <v>1</v>
      </c>
      <c r="E34" s="41">
        <v>48</v>
      </c>
      <c r="F34" s="58" t="s">
        <v>36</v>
      </c>
      <c r="G34" s="58" t="s">
        <v>37</v>
      </c>
      <c r="I34" s="46" t="s">
        <v>31</v>
      </c>
      <c r="J34" s="59">
        <v>22.4370214469171</v>
      </c>
      <c r="K34" s="58">
        <v>3</v>
      </c>
      <c r="L34" s="61">
        <v>1634.3009999999999</v>
      </c>
      <c r="M34">
        <v>1631.973</v>
      </c>
    </row>
    <row r="35" spans="3:13" x14ac:dyDescent="0.25">
      <c r="C35" s="40">
        <v>104470</v>
      </c>
      <c r="D35" s="41">
        <v>1</v>
      </c>
      <c r="E35" s="41">
        <v>48</v>
      </c>
      <c r="F35" s="58" t="s">
        <v>36</v>
      </c>
      <c r="G35" s="58" t="s">
        <v>37</v>
      </c>
      <c r="I35" s="12" t="s">
        <v>31</v>
      </c>
      <c r="J35" s="59">
        <v>22.779314281069986</v>
      </c>
      <c r="K35" s="58">
        <v>3</v>
      </c>
      <c r="L35" s="61">
        <v>1630.7750000000001</v>
      </c>
      <c r="M35">
        <v>1628.4469999999999</v>
      </c>
    </row>
  </sheetData>
  <mergeCells count="3">
    <mergeCell ref="AT6:AU6"/>
    <mergeCell ref="AW6:AX6"/>
    <mergeCell ref="C32:M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utton1_Click">
                <anchor moveWithCells="1" sizeWithCells="1">
                  <from>
                    <xdr:col>3</xdr:col>
                    <xdr:colOff>276225</xdr:colOff>
                    <xdr:row>1</xdr:row>
                    <xdr:rowOff>57150</xdr:rowOff>
                  </from>
                  <to>
                    <xdr:col>4</xdr:col>
                    <xdr:colOff>190500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D9:E24"/>
  <sheetViews>
    <sheetView topLeftCell="A4" workbookViewId="0">
      <selection activeCell="E9" sqref="E9:E24"/>
    </sheetView>
  </sheetViews>
  <sheetFormatPr defaultRowHeight="15" x14ac:dyDescent="0.25"/>
  <sheetData>
    <row r="9" spans="4:5" x14ac:dyDescent="0.25">
      <c r="D9" s="80" t="s">
        <v>97</v>
      </c>
      <c r="E9" t="s">
        <v>98</v>
      </c>
    </row>
    <row r="10" spans="4:5" x14ac:dyDescent="0.25">
      <c r="D10" s="80" t="s">
        <v>97</v>
      </c>
      <c r="E10" t="s">
        <v>99</v>
      </c>
    </row>
    <row r="11" spans="4:5" x14ac:dyDescent="0.25">
      <c r="D11" s="80" t="s">
        <v>97</v>
      </c>
      <c r="E11" t="s">
        <v>100</v>
      </c>
    </row>
    <row r="12" spans="4:5" x14ac:dyDescent="0.25">
      <c r="D12" s="80" t="s">
        <v>97</v>
      </c>
      <c r="E12" t="s">
        <v>101</v>
      </c>
    </row>
    <row r="13" spans="4:5" x14ac:dyDescent="0.25">
      <c r="D13" s="101" t="s">
        <v>97</v>
      </c>
      <c r="E13" t="s">
        <v>102</v>
      </c>
    </row>
    <row r="14" spans="4:5" x14ac:dyDescent="0.25">
      <c r="D14" s="80" t="s">
        <v>97</v>
      </c>
      <c r="E14" t="s">
        <v>103</v>
      </c>
    </row>
    <row r="15" spans="4:5" x14ac:dyDescent="0.25">
      <c r="D15" s="80" t="s">
        <v>97</v>
      </c>
      <c r="E15" t="s">
        <v>104</v>
      </c>
    </row>
    <row r="16" spans="4:5" x14ac:dyDescent="0.25">
      <c r="D16" s="80" t="s">
        <v>97</v>
      </c>
      <c r="E16" t="s">
        <v>105</v>
      </c>
    </row>
    <row r="17" spans="4:5" x14ac:dyDescent="0.25">
      <c r="D17" s="80" t="s">
        <v>97</v>
      </c>
      <c r="E17" t="s">
        <v>106</v>
      </c>
    </row>
    <row r="18" spans="4:5" x14ac:dyDescent="0.25">
      <c r="D18" s="80" t="s">
        <v>97</v>
      </c>
      <c r="E18" t="s">
        <v>107</v>
      </c>
    </row>
    <row r="19" spans="4:5" x14ac:dyDescent="0.25">
      <c r="D19" s="80" t="s">
        <v>97</v>
      </c>
      <c r="E19" t="s">
        <v>108</v>
      </c>
    </row>
    <row r="20" spans="4:5" x14ac:dyDescent="0.25">
      <c r="D20" s="80" t="s">
        <v>97</v>
      </c>
      <c r="E20" t="s">
        <v>109</v>
      </c>
    </row>
    <row r="21" spans="4:5" x14ac:dyDescent="0.25">
      <c r="D21" s="80" t="s">
        <v>97</v>
      </c>
      <c r="E21" t="s">
        <v>110</v>
      </c>
    </row>
    <row r="22" spans="4:5" x14ac:dyDescent="0.25">
      <c r="D22" s="101" t="s">
        <v>97</v>
      </c>
      <c r="E22" t="s">
        <v>111</v>
      </c>
    </row>
    <row r="23" spans="4:5" x14ac:dyDescent="0.25">
      <c r="D23" s="80" t="s">
        <v>97</v>
      </c>
      <c r="E23" t="s">
        <v>112</v>
      </c>
    </row>
    <row r="24" spans="4:5" x14ac:dyDescent="0.25">
      <c r="D24" s="101" t="s">
        <v>97</v>
      </c>
      <c r="E24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RCP_Cu</vt:lpstr>
      <vt:lpstr>SC_Cu</vt:lpstr>
      <vt:lpstr>SC_Cu (2)</vt:lpstr>
      <vt:lpstr>BC_Cu</vt:lpstr>
      <vt:lpstr>RW_Es</vt:lpstr>
      <vt:lpstr>Sheet5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2020-12-24T12:11:29Z</dcterms:created>
  <dcterms:modified xsi:type="dcterms:W3CDTF">2021-04-01T15:21:23Z</dcterms:modified>
</cp:coreProperties>
</file>