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080" yWindow="1575" windowWidth="12915" windowHeight="7170"/>
  </bookViews>
  <sheets>
    <sheet name="SC_@Fill" sheetId="1" r:id="rId1"/>
    <sheet name="SC_@Grade" sheetId="2" r:id="rId2"/>
    <sheet name="BC_@Fill" sheetId="3" r:id="rId3"/>
    <sheet name="BC_@Grade" sheetId="4" r:id="rId4"/>
    <sheet name="wardar_@fill" sheetId="5" r:id="rId5"/>
    <sheet name="wardar_@Grade" sheetId="6" r:id="rId6"/>
    <sheet name="Sheet3" sheetId="7" r:id="rId7"/>
  </sheets>
  <externalReferences>
    <externalReference r:id="rId8"/>
  </externalReferences>
  <calcPr calcId="145621"/>
</workbook>
</file>

<file path=xl/calcChain.xml><?xml version="1.0" encoding="utf-8"?>
<calcChain xmlns="http://schemas.openxmlformats.org/spreadsheetml/2006/main">
  <c r="D22" i="6" l="1"/>
  <c r="J39" i="6" s="1"/>
  <c r="F45" i="5"/>
  <c r="I45" i="5" s="1"/>
  <c r="F21" i="5"/>
  <c r="I22" i="6" l="1"/>
  <c r="I28" i="6"/>
  <c r="G22" i="6"/>
  <c r="M39" i="6"/>
  <c r="K39" i="6"/>
  <c r="L39" i="6"/>
  <c r="H22" i="6"/>
  <c r="N39" i="6"/>
  <c r="I39" i="6"/>
  <c r="E22" i="6"/>
  <c r="D22" i="2" l="1"/>
  <c r="I39" i="2" s="1"/>
  <c r="I28" i="2" l="1"/>
  <c r="E22" i="2"/>
  <c r="G22" i="2"/>
  <c r="K39" i="2"/>
  <c r="H22" i="2"/>
  <c r="N39" i="2"/>
  <c r="J39" i="2"/>
  <c r="L39" i="2"/>
  <c r="I22" i="2"/>
  <c r="M39" i="2"/>
  <c r="F45" i="1" l="1"/>
  <c r="I45" i="1" s="1"/>
  <c r="F21" i="1" l="1"/>
  <c r="E45" i="5" l="1"/>
  <c r="C22" i="6"/>
  <c r="E21" i="5"/>
  <c r="E21" i="1"/>
  <c r="D17" i="1" s="1"/>
  <c r="G21" i="1" s="1"/>
  <c r="C22" i="2"/>
  <c r="E45" i="1"/>
  <c r="J45" i="5" l="1"/>
  <c r="L42" i="5"/>
  <c r="G45" i="5"/>
  <c r="L41" i="5"/>
  <c r="I21" i="1"/>
  <c r="J21" i="1"/>
  <c r="G21" i="5"/>
  <c r="J21" i="5"/>
  <c r="I21" i="5"/>
  <c r="L41" i="1"/>
  <c r="G45" i="1"/>
  <c r="L42" i="1"/>
  <c r="J45" i="1"/>
</calcChain>
</file>

<file path=xl/sharedStrings.xml><?xml version="1.0" encoding="utf-8"?>
<sst xmlns="http://schemas.openxmlformats.org/spreadsheetml/2006/main" count="474" uniqueCount="126">
  <si>
    <t>HF</t>
  </si>
  <si>
    <t>span</t>
  </si>
  <si>
    <t>BAR</t>
  </si>
  <si>
    <t>(kg)</t>
  </si>
  <si>
    <t>wardar</t>
  </si>
  <si>
    <t>Clear span, Sc (m)</t>
  </si>
  <si>
    <t>Height, H (m)</t>
  </si>
  <si>
    <t xml:space="preserve"> 1-6</t>
  </si>
  <si>
    <t>Slab thickness</t>
  </si>
  <si>
    <t xml:space="preserve"> (mm)</t>
  </si>
  <si>
    <t>Spacing (cm)</t>
  </si>
  <si>
    <t>Length (m)</t>
  </si>
  <si>
    <t>No. of bars</t>
  </si>
  <si>
    <t>BAR-s2</t>
  </si>
  <si>
    <t>Bar-S</t>
  </si>
  <si>
    <t>Bar-S1</t>
  </si>
  <si>
    <t>Bar-S2</t>
  </si>
  <si>
    <t>TOTAL QUANTITY OF EDGE BEAM FOR NO SKEWNESS</t>
  </si>
  <si>
    <t>CLEAR SPAN Sc(m)</t>
  </si>
  <si>
    <t>SIZE  mm.</t>
  </si>
  <si>
    <t>LENGTH  m.</t>
  </si>
  <si>
    <t>NO. Both Sides</t>
  </si>
  <si>
    <t>BAR-H</t>
  </si>
  <si>
    <t>BAR-H1</t>
  </si>
  <si>
    <t>SPACING  cm.</t>
  </si>
  <si>
    <t>BAR-H2</t>
  </si>
  <si>
    <t>Class 'A' Conc. m</t>
  </si>
  <si>
    <t>Hf=</t>
  </si>
  <si>
    <t>SLAB THICKNESS,t (m)</t>
  </si>
  <si>
    <t>C1</t>
  </si>
  <si>
    <t>C2</t>
  </si>
  <si>
    <t>S</t>
  </si>
  <si>
    <t>S'</t>
  </si>
  <si>
    <t>S1</t>
  </si>
  <si>
    <t>S2</t>
  </si>
  <si>
    <t>S3</t>
  </si>
  <si>
    <t>S4</t>
  </si>
  <si>
    <t>CLASS "A" CONCRETE (m )</t>
  </si>
  <si>
    <t>REINFORCEMENT STEEL (kg)</t>
  </si>
  <si>
    <t>CONC. BRIDGE RAILING (LM)</t>
  </si>
  <si>
    <t>CLEAR SPAN</t>
  </si>
  <si>
    <t>(mm)</t>
  </si>
  <si>
    <t>-</t>
  </si>
  <si>
    <t>NUMBER</t>
  </si>
  <si>
    <t>LENGTH</t>
  </si>
  <si>
    <t>TOTAL_L</t>
  </si>
  <si>
    <t>TOTAL_(kg)</t>
  </si>
  <si>
    <r>
      <t>BAR c/c_</t>
    </r>
    <r>
      <rPr>
        <b/>
        <sz val="11"/>
        <color theme="1"/>
        <rFont val="Calibri"/>
        <family val="2"/>
        <scheme val="minor"/>
      </rPr>
      <t>(mm)</t>
    </r>
  </si>
  <si>
    <t>TOTALLENGTH</t>
  </si>
  <si>
    <t>TOTWEHT_kg</t>
  </si>
  <si>
    <t>BAR c/c(mm)</t>
  </si>
  <si>
    <t>Span</t>
  </si>
  <si>
    <t>Diameter</t>
  </si>
  <si>
    <t>Shear reinforcement Bar "T"</t>
  </si>
  <si>
    <t xml:space="preserve"> spacing</t>
  </si>
  <si>
    <t>200mm</t>
  </si>
  <si>
    <t>350mm</t>
  </si>
  <si>
    <t>325mm</t>
  </si>
  <si>
    <t>410mm</t>
  </si>
  <si>
    <t>430mm</t>
  </si>
  <si>
    <t>650mm</t>
  </si>
  <si>
    <t>spacing</t>
  </si>
  <si>
    <t>400mm</t>
  </si>
  <si>
    <t>Length</t>
  </si>
  <si>
    <t>455.2mm</t>
  </si>
  <si>
    <t>475.2mm</t>
  </si>
  <si>
    <t>505.2mm</t>
  </si>
  <si>
    <t>535.2mm</t>
  </si>
  <si>
    <t>555.2mm</t>
  </si>
  <si>
    <t>605.2mm</t>
  </si>
  <si>
    <t>Totalweight</t>
  </si>
  <si>
    <t>(KG)</t>
  </si>
  <si>
    <t xml:space="preserve">Transversal </t>
  </si>
  <si>
    <t xml:space="preserve">Longtudinal </t>
  </si>
  <si>
    <t>TABLE-3</t>
  </si>
  <si>
    <t>TABLE-2</t>
  </si>
  <si>
    <t>a</t>
  </si>
  <si>
    <t>b</t>
  </si>
  <si>
    <t>c</t>
  </si>
  <si>
    <t>d</t>
  </si>
  <si>
    <t>e</t>
  </si>
  <si>
    <t>f</t>
  </si>
  <si>
    <t>SLAB</t>
  </si>
  <si>
    <t>thk</t>
  </si>
  <si>
    <t>CONC</t>
  </si>
  <si>
    <t>(m)</t>
  </si>
  <si>
    <t>(m3)</t>
  </si>
  <si>
    <t>Height of Fill</t>
  </si>
  <si>
    <t>Concrete (m</t>
  </si>
  <si>
    <t>Steel (Kg)</t>
  </si>
  <si>
    <t>Table-1</t>
  </si>
  <si>
    <t>Table-2</t>
  </si>
  <si>
    <t>Conc</t>
  </si>
  <si>
    <t>Total Reinf.  (kg)</t>
  </si>
  <si>
    <t>Reinf.  (kg)</t>
  </si>
  <si>
    <t xml:space="preserve"> EDGE__BEAM</t>
  </si>
  <si>
    <t>RAILING</t>
  </si>
  <si>
    <t>CLASS "A"</t>
  </si>
  <si>
    <t>REINFor</t>
  </si>
  <si>
    <t>xyz</t>
  </si>
  <si>
    <t>ANKOBER -AWASH ARBA JUNCTION</t>
  </si>
  <si>
    <t>DIMENSION DETAILS</t>
  </si>
  <si>
    <t>H</t>
  </si>
  <si>
    <t>DT</t>
  </si>
  <si>
    <t>D</t>
  </si>
  <si>
    <t>HT</t>
  </si>
  <si>
    <t>2A+1.72</t>
  </si>
  <si>
    <t>2A+2.22</t>
  </si>
  <si>
    <t>2A+2.72</t>
  </si>
  <si>
    <t>2A+3.22</t>
  </si>
  <si>
    <t>2A+3.72</t>
  </si>
  <si>
    <t>2A+4.22</t>
  </si>
  <si>
    <t>2A+4.72</t>
  </si>
  <si>
    <t>2A+5.22</t>
  </si>
  <si>
    <t>L</t>
  </si>
  <si>
    <t>K1</t>
  </si>
  <si>
    <t>K2</t>
  </si>
  <si>
    <t>hf&lt;=0.6</t>
  </si>
  <si>
    <t>3.2-4.2</t>
  </si>
  <si>
    <t>2.2-3.2</t>
  </si>
  <si>
    <t>0.6-1.2</t>
  </si>
  <si>
    <t>4.2-5.2</t>
  </si>
  <si>
    <t>5.2-6.2</t>
  </si>
  <si>
    <t>6.2-7.2</t>
  </si>
  <si>
    <t>7.2-8.2</t>
  </si>
  <si>
    <t>1.2-2.2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</si>
</sst>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@&quot; Project&quot;"/>
    <numFmt numFmtId="165" formatCode="0.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Arial"/>
      <family val="2"/>
    </font>
    <font>
      <sz val="11"/>
      <color rgb="FFFF0000"/>
      <name val="Calibri"/>
      <family val="2"/>
      <scheme val="minor"/>
    </font>
    <font>
      <sz val="16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127">
    <xf numFmtId="0" fontId="0" fillId="0" borderId="0" xfId="0"/>
    <xf numFmtId="0" fontId="1" fillId="0" borderId="0" xfId="1"/>
    <xf numFmtId="0" fontId="3" fillId="0" borderId="0" xfId="1" applyFont="1"/>
    <xf numFmtId="0" fontId="3" fillId="0" borderId="0" xfId="1" applyFont="1" applyBorder="1"/>
    <xf numFmtId="2" fontId="4" fillId="0" borderId="0" xfId="1" applyNumberFormat="1" applyFont="1" applyBorder="1"/>
    <xf numFmtId="2" fontId="3" fillId="0" borderId="0" xfId="1" applyNumberFormat="1" applyFont="1" applyBorder="1"/>
    <xf numFmtId="0" fontId="1" fillId="0" borderId="0" xfId="1" applyBorder="1"/>
    <xf numFmtId="0" fontId="1" fillId="0" borderId="0" xfId="1" applyBorder="1" applyAlignment="1"/>
    <xf numFmtId="0" fontId="1" fillId="0" borderId="2" xfId="1" applyBorder="1" applyAlignment="1"/>
    <xf numFmtId="0" fontId="0" fillId="2" borderId="2" xfId="0" applyFill="1" applyBorder="1"/>
    <xf numFmtId="0" fontId="1" fillId="0" borderId="0" xfId="1" applyBorder="1" applyAlignment="1">
      <alignment textRotation="90"/>
    </xf>
    <xf numFmtId="0" fontId="2" fillId="3" borderId="2" xfId="0" applyFont="1" applyFill="1" applyBorder="1" applyAlignment="1">
      <alignment vertical="center"/>
    </xf>
    <xf numFmtId="0" fontId="1" fillId="0" borderId="0" xfId="1" applyBorder="1" applyAlignment="1">
      <alignment textRotation="90" wrapText="1"/>
    </xf>
    <xf numFmtId="2" fontId="1" fillId="0" borderId="0" xfId="1" applyNumberFormat="1" applyBorder="1"/>
    <xf numFmtId="0" fontId="1" fillId="4" borderId="0" xfId="1" applyFill="1"/>
    <xf numFmtId="0" fontId="1" fillId="4" borderId="2" xfId="1" applyFill="1" applyBorder="1"/>
    <xf numFmtId="2" fontId="1" fillId="4" borderId="2" xfId="1" applyNumberFormat="1" applyFill="1" applyBorder="1"/>
    <xf numFmtId="2" fontId="1" fillId="4" borderId="0" xfId="1" applyNumberFormat="1" applyFill="1" applyBorder="1" applyAlignment="1">
      <alignment horizontal="left"/>
    </xf>
    <xf numFmtId="0" fontId="1" fillId="4" borderId="0" xfId="1" applyFill="1" applyBorder="1"/>
    <xf numFmtId="2" fontId="1" fillId="4" borderId="0" xfId="1" applyNumberFormat="1" applyFill="1" applyBorder="1"/>
    <xf numFmtId="164" fontId="6" fillId="4" borderId="2" xfId="1" applyNumberFormat="1" applyFont="1" applyFill="1" applyBorder="1" applyAlignment="1">
      <alignment horizontal="left"/>
    </xf>
    <xf numFmtId="0" fontId="1" fillId="5" borderId="0" xfId="1" applyFill="1" applyBorder="1"/>
    <xf numFmtId="0" fontId="1" fillId="5" borderId="0" xfId="1" applyFill="1"/>
    <xf numFmtId="164" fontId="7" fillId="4" borderId="2" xfId="1" applyNumberFormat="1" applyFont="1" applyFill="1" applyBorder="1" applyAlignment="1">
      <alignment horizontal="left"/>
    </xf>
    <xf numFmtId="0" fontId="0" fillId="4" borderId="0" xfId="1" applyFont="1" applyFill="1" applyBorder="1"/>
    <xf numFmtId="0" fontId="1" fillId="4" borderId="7" xfId="1" applyFill="1" applyBorder="1"/>
    <xf numFmtId="2" fontId="1" fillId="4" borderId="8" xfId="1" applyNumberFormat="1" applyFill="1" applyBorder="1"/>
    <xf numFmtId="0" fontId="1" fillId="4" borderId="9" xfId="1" applyFill="1" applyBorder="1"/>
    <xf numFmtId="0" fontId="1" fillId="4" borderId="10" xfId="1" applyFill="1" applyBorder="1"/>
    <xf numFmtId="2" fontId="1" fillId="4" borderId="11" xfId="1" applyNumberFormat="1" applyFill="1" applyBorder="1"/>
    <xf numFmtId="0" fontId="0" fillId="4" borderId="2" xfId="1" applyFont="1" applyFill="1" applyBorder="1" applyAlignment="1"/>
    <xf numFmtId="0" fontId="1" fillId="4" borderId="12" xfId="1" applyFill="1" applyBorder="1"/>
    <xf numFmtId="0" fontId="1" fillId="4" borderId="6" xfId="1" applyFill="1" applyBorder="1"/>
    <xf numFmtId="0" fontId="1" fillId="4" borderId="8" xfId="1" applyFill="1" applyBorder="1"/>
    <xf numFmtId="0" fontId="1" fillId="4" borderId="11" xfId="1" applyFill="1" applyBorder="1"/>
    <xf numFmtId="2" fontId="1" fillId="4" borderId="7" xfId="1" applyNumberFormat="1" applyFill="1" applyBorder="1"/>
    <xf numFmtId="2" fontId="1" fillId="4" borderId="9" xfId="1" applyNumberFormat="1" applyFill="1" applyBorder="1"/>
    <xf numFmtId="2" fontId="1" fillId="4" borderId="10" xfId="1" applyNumberFormat="1" applyFill="1" applyBorder="1"/>
    <xf numFmtId="0" fontId="5" fillId="4" borderId="12" xfId="1" applyFont="1" applyFill="1" applyBorder="1"/>
    <xf numFmtId="0" fontId="5" fillId="4" borderId="6" xfId="1" applyFont="1" applyFill="1" applyBorder="1"/>
    <xf numFmtId="2" fontId="1" fillId="4" borderId="13" xfId="1" applyNumberFormat="1" applyFill="1" applyBorder="1" applyAlignment="1">
      <alignment horizontal="left"/>
    </xf>
    <xf numFmtId="0" fontId="1" fillId="4" borderId="14" xfId="1" applyFill="1" applyBorder="1"/>
    <xf numFmtId="2" fontId="1" fillId="4" borderId="7" xfId="1" applyNumberFormat="1" applyFill="1" applyBorder="1" applyAlignment="1">
      <alignment horizontal="left"/>
    </xf>
    <xf numFmtId="0" fontId="0" fillId="4" borderId="8" xfId="1" applyFont="1" applyFill="1" applyBorder="1"/>
    <xf numFmtId="2" fontId="1" fillId="4" borderId="9" xfId="1" applyNumberFormat="1" applyFill="1" applyBorder="1" applyAlignment="1">
      <alignment horizontal="left"/>
    </xf>
    <xf numFmtId="0" fontId="0" fillId="4" borderId="11" xfId="1" applyFont="1" applyFill="1" applyBorder="1"/>
    <xf numFmtId="0" fontId="1" fillId="4" borderId="3" xfId="1" applyFill="1" applyBorder="1"/>
    <xf numFmtId="0" fontId="0" fillId="4" borderId="2" xfId="1" applyFont="1" applyFill="1" applyBorder="1"/>
    <xf numFmtId="2" fontId="1" fillId="4" borderId="13" xfId="1" applyNumberFormat="1" applyFill="1" applyBorder="1"/>
    <xf numFmtId="2" fontId="1" fillId="4" borderId="15" xfId="1" applyNumberFormat="1" applyFill="1" applyBorder="1"/>
    <xf numFmtId="2" fontId="1" fillId="4" borderId="14" xfId="1" applyNumberFormat="1" applyFill="1" applyBorder="1"/>
    <xf numFmtId="2" fontId="1" fillId="4" borderId="3" xfId="1" applyNumberFormat="1" applyFill="1" applyBorder="1" applyAlignment="1">
      <alignment horizontal="left"/>
    </xf>
    <xf numFmtId="2" fontId="1" fillId="4" borderId="12" xfId="1" applyNumberFormat="1" applyFill="1" applyBorder="1" applyAlignment="1">
      <alignment horizontal="left"/>
    </xf>
    <xf numFmtId="2" fontId="1" fillId="4" borderId="6" xfId="1" applyNumberFormat="1" applyFill="1" applyBorder="1" applyAlignment="1">
      <alignment horizontal="left"/>
    </xf>
    <xf numFmtId="2" fontId="1" fillId="4" borderId="2" xfId="1" applyNumberFormat="1" applyFill="1" applyBorder="1" applyAlignment="1">
      <alignment horizontal="left"/>
    </xf>
    <xf numFmtId="0" fontId="0" fillId="4" borderId="2" xfId="1" applyFont="1" applyFill="1" applyBorder="1" applyAlignment="1">
      <alignment horizontal="center"/>
    </xf>
    <xf numFmtId="0" fontId="1" fillId="4" borderId="1" xfId="1" applyFill="1" applyBorder="1" applyAlignment="1"/>
    <xf numFmtId="0" fontId="1" fillId="4" borderId="5" xfId="1" applyFill="1" applyBorder="1" applyAlignment="1"/>
    <xf numFmtId="0" fontId="1" fillId="4" borderId="4" xfId="1" applyFill="1" applyBorder="1" applyAlignment="1"/>
    <xf numFmtId="0" fontId="1" fillId="4" borderId="13" xfId="1" applyFill="1" applyBorder="1"/>
    <xf numFmtId="0" fontId="1" fillId="4" borderId="15" xfId="1" applyFill="1" applyBorder="1"/>
    <xf numFmtId="0" fontId="0" fillId="4" borderId="15" xfId="1" applyFont="1" applyFill="1" applyBorder="1"/>
    <xf numFmtId="2" fontId="0" fillId="4" borderId="14" xfId="1" applyNumberFormat="1" applyFont="1" applyFill="1" applyBorder="1"/>
    <xf numFmtId="2" fontId="0" fillId="4" borderId="15" xfId="1" applyNumberFormat="1" applyFont="1" applyFill="1" applyBorder="1"/>
    <xf numFmtId="0" fontId="1" fillId="4" borderId="1" xfId="1" applyFill="1" applyBorder="1"/>
    <xf numFmtId="0" fontId="1" fillId="4" borderId="5" xfId="1" applyFill="1" applyBorder="1"/>
    <xf numFmtId="2" fontId="1" fillId="4" borderId="4" xfId="1" applyNumberFormat="1" applyFill="1" applyBorder="1"/>
    <xf numFmtId="2" fontId="1" fillId="4" borderId="5" xfId="1" applyNumberFormat="1" applyFill="1" applyBorder="1"/>
    <xf numFmtId="0" fontId="0" fillId="4" borderId="14" xfId="1" applyFont="1" applyFill="1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0" fontId="0" fillId="0" borderId="2" xfId="1" applyFont="1" applyBorder="1"/>
    <xf numFmtId="0" fontId="0" fillId="6" borderId="1" xfId="1" applyFont="1" applyFill="1" applyBorder="1" applyAlignment="1"/>
    <xf numFmtId="0" fontId="0" fillId="6" borderId="5" xfId="1" applyFont="1" applyFill="1" applyBorder="1" applyAlignment="1"/>
    <xf numFmtId="0" fontId="0" fillId="6" borderId="4" xfId="1" applyFont="1" applyFill="1" applyBorder="1" applyAlignment="1"/>
    <xf numFmtId="0" fontId="0" fillId="4" borderId="1" xfId="1" applyFont="1" applyFill="1" applyBorder="1" applyAlignment="1"/>
    <xf numFmtId="2" fontId="0" fillId="4" borderId="1" xfId="1" applyNumberFormat="1" applyFont="1" applyFill="1" applyBorder="1" applyAlignment="1"/>
    <xf numFmtId="2" fontId="1" fillId="4" borderId="5" xfId="1" applyNumberFormat="1" applyFill="1" applyBorder="1" applyAlignment="1"/>
    <xf numFmtId="2" fontId="1" fillId="4" borderId="4" xfId="1" applyNumberFormat="1" applyFill="1" applyBorder="1" applyAlignment="1"/>
    <xf numFmtId="0" fontId="2" fillId="3" borderId="2" xfId="1" applyFont="1" applyFill="1" applyBorder="1" applyAlignment="1"/>
    <xf numFmtId="0" fontId="2" fillId="0" borderId="6" xfId="1" applyFont="1" applyBorder="1" applyAlignment="1"/>
    <xf numFmtId="0" fontId="0" fillId="0" borderId="4" xfId="0" applyBorder="1"/>
    <xf numFmtId="0" fontId="0" fillId="0" borderId="13" xfId="0" applyBorder="1"/>
    <xf numFmtId="0" fontId="0" fillId="0" borderId="9" xfId="0" applyBorder="1"/>
    <xf numFmtId="2" fontId="0" fillId="0" borderId="6" xfId="1" applyNumberFormat="1" applyFont="1" applyBorder="1"/>
    <xf numFmtId="0" fontId="8" fillId="6" borderId="1" xfId="1" applyFont="1" applyFill="1" applyBorder="1" applyAlignment="1"/>
    <xf numFmtId="0" fontId="8" fillId="4" borderId="1" xfId="1" applyFont="1" applyFill="1" applyBorder="1"/>
    <xf numFmtId="0" fontId="1" fillId="4" borderId="4" xfId="1" applyFill="1" applyBorder="1"/>
    <xf numFmtId="0" fontId="2" fillId="7" borderId="2" xfId="1" applyFont="1" applyFill="1" applyBorder="1" applyAlignment="1"/>
    <xf numFmtId="0" fontId="0" fillId="0" borderId="1" xfId="0" applyBorder="1"/>
    <xf numFmtId="164" fontId="7" fillId="8" borderId="2" xfId="1" applyNumberFormat="1" applyFont="1" applyFill="1" applyBorder="1" applyAlignment="1">
      <alignment horizontal="left"/>
    </xf>
    <xf numFmtId="0" fontId="1" fillId="8" borderId="2" xfId="1" applyFill="1" applyBorder="1"/>
    <xf numFmtId="2" fontId="0" fillId="0" borderId="9" xfId="1" applyNumberFormat="1" applyFont="1" applyBorder="1"/>
    <xf numFmtId="0" fontId="3" fillId="0" borderId="3" xfId="1" applyFont="1" applyBorder="1"/>
    <xf numFmtId="0" fontId="0" fillId="0" borderId="12" xfId="1" applyFont="1" applyBorder="1"/>
    <xf numFmtId="0" fontId="0" fillId="0" borderId="6" xfId="1" applyFont="1" applyBorder="1" applyAlignment="1"/>
    <xf numFmtId="2" fontId="0" fillId="4" borderId="0" xfId="1" applyNumberFormat="1" applyFont="1" applyFill="1" applyBorder="1" applyAlignment="1">
      <alignment horizontal="left"/>
    </xf>
    <xf numFmtId="0" fontId="3" fillId="0" borderId="2" xfId="1" applyFont="1" applyBorder="1"/>
    <xf numFmtId="0" fontId="0" fillId="0" borderId="12" xfId="0" applyBorder="1"/>
    <xf numFmtId="1" fontId="1" fillId="4" borderId="7" xfId="1" applyNumberFormat="1" applyFill="1" applyBorder="1" applyAlignment="1">
      <alignment horizontal="left"/>
    </xf>
    <xf numFmtId="1" fontId="1" fillId="4" borderId="9" xfId="1" applyNumberFormat="1" applyFill="1" applyBorder="1" applyAlignment="1">
      <alignment horizontal="left"/>
    </xf>
    <xf numFmtId="2" fontId="1" fillId="4" borderId="11" xfId="1" applyNumberFormat="1" applyFill="1" applyBorder="1" applyAlignment="1">
      <alignment horizontal="left"/>
    </xf>
    <xf numFmtId="0" fontId="2" fillId="0" borderId="2" xfId="0" applyFont="1" applyBorder="1"/>
    <xf numFmtId="165" fontId="1" fillId="3" borderId="2" xfId="1" applyNumberFormat="1" applyFill="1" applyBorder="1" applyAlignment="1"/>
    <xf numFmtId="0" fontId="0" fillId="4" borderId="12" xfId="1" applyFont="1" applyFill="1" applyBorder="1"/>
    <xf numFmtId="2" fontId="1" fillId="4" borderId="12" xfId="1" applyNumberFormat="1" applyFill="1" applyBorder="1"/>
    <xf numFmtId="2" fontId="1" fillId="4" borderId="6" xfId="1" applyNumberFormat="1" applyFill="1" applyBorder="1"/>
    <xf numFmtId="0" fontId="0" fillId="4" borderId="2" xfId="1" applyFont="1" applyFill="1" applyBorder="1" applyAlignment="1">
      <alignment horizontal="center"/>
    </xf>
    <xf numFmtId="2" fontId="0" fillId="4" borderId="2" xfId="1" applyNumberFormat="1" applyFont="1" applyFill="1" applyBorder="1" applyAlignment="1">
      <alignment horizontal="center"/>
    </xf>
    <xf numFmtId="2" fontId="1" fillId="4" borderId="2" xfId="1" applyNumberFormat="1" applyFill="1" applyBorder="1" applyAlignment="1">
      <alignment horizontal="center"/>
    </xf>
    <xf numFmtId="0" fontId="0" fillId="4" borderId="2" xfId="1" applyFont="1" applyFill="1" applyBorder="1" applyAlignment="1">
      <alignment horizontal="center"/>
    </xf>
    <xf numFmtId="0" fontId="1" fillId="4" borderId="2" xfId="1" applyFill="1" applyBorder="1" applyAlignment="1">
      <alignment horizontal="center"/>
    </xf>
    <xf numFmtId="0" fontId="0" fillId="4" borderId="5" xfId="1" applyFont="1" applyFill="1" applyBorder="1" applyAlignment="1">
      <alignment horizontal="center"/>
    </xf>
    <xf numFmtId="0" fontId="1" fillId="4" borderId="5" xfId="1" applyFill="1" applyBorder="1" applyAlignment="1">
      <alignment horizontal="center"/>
    </xf>
    <xf numFmtId="0" fontId="1" fillId="4" borderId="4" xfId="1" applyFill="1" applyBorder="1" applyAlignment="1">
      <alignment horizontal="center"/>
    </xf>
    <xf numFmtId="0" fontId="0" fillId="4" borderId="3" xfId="1" applyFont="1" applyFill="1" applyBorder="1"/>
    <xf numFmtId="0" fontId="0" fillId="4" borderId="1" xfId="1" applyFont="1" applyFill="1" applyBorder="1"/>
    <xf numFmtId="2" fontId="0" fillId="0" borderId="16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0" fontId="0" fillId="0" borderId="0" xfId="1" applyFont="1"/>
    <xf numFmtId="0" fontId="0" fillId="0" borderId="3" xfId="0" applyFill="1" applyBorder="1"/>
    <xf numFmtId="0" fontId="0" fillId="0" borderId="2" xfId="0" applyFill="1" applyBorder="1"/>
    <xf numFmtId="0" fontId="5" fillId="4" borderId="3" xfId="1" applyFont="1" applyFill="1" applyBorder="1"/>
    <xf numFmtId="0" fontId="5" fillId="4" borderId="2" xfId="1" applyFont="1" applyFill="1" applyBorder="1"/>
    <xf numFmtId="0" fontId="5" fillId="4" borderId="1" xfId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LB_CU"/>
      <sheetName val="BOX_CU"/>
      <sheetName val="PipeEnd_data"/>
      <sheetName val="Chk_dm"/>
      <sheetName val="ERA2013"/>
      <sheetName val="Sheet1"/>
    </sheetNames>
    <sheetDataSet>
      <sheetData sheetId="0"/>
      <sheetData sheetId="1">
        <row r="5">
          <cell r="D5">
            <v>1</v>
          </cell>
        </row>
        <row r="8">
          <cell r="B8">
            <v>1.649569805019155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BD53"/>
  <sheetViews>
    <sheetView tabSelected="1" zoomScale="85" zoomScaleNormal="85" workbookViewId="0">
      <selection activeCell="D10" sqref="D10"/>
    </sheetView>
  </sheetViews>
  <sheetFormatPr defaultRowHeight="15" x14ac:dyDescent="0.25"/>
  <cols>
    <col min="1" max="1" width="7" style="1" customWidth="1"/>
    <col min="2" max="2" width="12.85546875" style="1" customWidth="1"/>
    <col min="3" max="3" width="10.42578125" style="1" customWidth="1"/>
    <col min="4" max="19" width="11.85546875" style="1" customWidth="1"/>
    <col min="20" max="20" width="7.85546875" style="1" customWidth="1"/>
    <col min="21" max="21" width="6" style="1" customWidth="1"/>
    <col min="22" max="22" width="6.5703125" style="1" customWidth="1"/>
    <col min="23" max="23" width="6.42578125" style="1" customWidth="1"/>
    <col min="24" max="24" width="6.140625" style="1" customWidth="1"/>
    <col min="25" max="25" width="12" style="1" customWidth="1"/>
    <col min="26" max="26" width="10.7109375" style="1" customWidth="1"/>
    <col min="27" max="27" width="5.85546875" style="1" customWidth="1"/>
    <col min="28" max="28" width="10.7109375" style="1" customWidth="1"/>
    <col min="29" max="29" width="11.85546875" style="1" customWidth="1"/>
    <col min="30" max="30" width="14.85546875" style="1" customWidth="1"/>
    <col min="31" max="31" width="13.85546875" style="1" customWidth="1"/>
    <col min="32" max="32" width="7.7109375" style="1" customWidth="1"/>
    <col min="33" max="33" width="6.5703125" style="1" customWidth="1"/>
    <col min="34" max="34" width="6.140625" style="1" customWidth="1"/>
    <col min="35" max="35" width="6.7109375" style="1" customWidth="1"/>
    <col min="36" max="36" width="7.7109375" style="1" customWidth="1"/>
    <col min="37" max="37" width="7.85546875" style="1" customWidth="1"/>
    <col min="38" max="38" width="7.140625" style="1" customWidth="1"/>
    <col min="39" max="40" width="6.140625" style="1" customWidth="1"/>
    <col min="41" max="41" width="6.7109375" style="1" customWidth="1"/>
    <col min="42" max="42" width="6.28515625" style="1" customWidth="1"/>
    <col min="43" max="43" width="7.85546875" style="1" customWidth="1"/>
    <col min="44" max="44" width="7.28515625" style="1" customWidth="1"/>
    <col min="45" max="45" width="5.7109375" style="1" customWidth="1"/>
    <col min="46" max="47" width="6.42578125" style="1" customWidth="1"/>
    <col min="48" max="48" width="6.5703125" style="1" customWidth="1"/>
    <col min="49" max="49" width="7.42578125" style="1" customWidth="1"/>
    <col min="50" max="50" width="7.7109375" style="1" customWidth="1"/>
    <col min="51" max="51" width="7" style="1" customWidth="1"/>
    <col min="52" max="52" width="6.7109375" style="1" customWidth="1"/>
    <col min="53" max="53" width="7.140625" style="1" customWidth="1"/>
    <col min="54" max="54" width="8.42578125" style="1" customWidth="1"/>
    <col min="55" max="55" width="8.140625" style="1" customWidth="1"/>
    <col min="56" max="56" width="7.42578125" style="1" customWidth="1"/>
    <col min="57" max="16384" width="9.140625" style="1"/>
  </cols>
  <sheetData>
    <row r="1" spans="1:56" s="14" customFormat="1" ht="15.75" x14ac:dyDescent="0.25">
      <c r="A1" s="91" t="s">
        <v>4</v>
      </c>
      <c r="B1" s="92"/>
      <c r="C1" s="92"/>
      <c r="D1" s="18"/>
      <c r="E1" s="24" t="s">
        <v>87</v>
      </c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8"/>
      <c r="S1" s="19"/>
      <c r="T1" s="18"/>
      <c r="U1" s="18"/>
      <c r="V1" s="18"/>
      <c r="W1" s="18"/>
      <c r="X1" s="18"/>
      <c r="Y1" s="19"/>
      <c r="Z1" s="18"/>
      <c r="AA1" s="18"/>
      <c r="AB1" s="18"/>
      <c r="AC1" s="18"/>
      <c r="AD1" s="18"/>
      <c r="AE1" s="19"/>
      <c r="AF1" s="18"/>
      <c r="AG1" s="18"/>
      <c r="AH1" s="18"/>
      <c r="AI1" s="18"/>
      <c r="AJ1" s="18"/>
      <c r="AK1" s="19"/>
      <c r="AL1" s="18"/>
      <c r="AM1" s="18"/>
      <c r="AN1" s="18"/>
      <c r="AO1" s="18"/>
      <c r="AP1" s="18"/>
      <c r="AQ1" s="19"/>
      <c r="AR1" s="18"/>
      <c r="AS1" s="18"/>
      <c r="AT1" s="18"/>
      <c r="AU1" s="18"/>
      <c r="AV1" s="18"/>
      <c r="AW1" s="19"/>
      <c r="AX1" s="18"/>
      <c r="AY1" s="18"/>
      <c r="AZ1" s="18"/>
      <c r="BA1" s="18"/>
      <c r="BB1" s="18"/>
      <c r="BC1" s="19"/>
      <c r="BD1" s="19"/>
    </row>
    <row r="2" spans="1:56" s="14" customFormat="1" x14ac:dyDescent="0.25">
      <c r="A2" s="17"/>
      <c r="B2" s="18"/>
      <c r="C2" s="86">
        <v>1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5"/>
      <c r="O2" s="73">
        <v>2</v>
      </c>
      <c r="P2" s="74"/>
      <c r="Q2" s="74"/>
      <c r="R2" s="74"/>
      <c r="S2" s="74"/>
      <c r="T2" s="74"/>
      <c r="U2" s="74"/>
      <c r="V2" s="74"/>
      <c r="W2" s="74"/>
      <c r="X2" s="74"/>
      <c r="Y2" s="75"/>
      <c r="Z2" s="18"/>
      <c r="AA2" s="18"/>
      <c r="AB2" s="18"/>
      <c r="AC2" s="18"/>
      <c r="AD2" s="18"/>
      <c r="AE2" s="19"/>
      <c r="AF2" s="18"/>
      <c r="AG2" s="18"/>
      <c r="AH2" s="18"/>
      <c r="AI2" s="18"/>
      <c r="AJ2" s="18"/>
      <c r="AK2" s="19"/>
      <c r="AL2" s="18"/>
      <c r="AM2" s="18"/>
      <c r="AN2" s="18"/>
      <c r="AO2" s="18"/>
      <c r="AP2" s="18"/>
      <c r="AQ2" s="19"/>
      <c r="AR2" s="18"/>
      <c r="AS2" s="18"/>
      <c r="AT2" s="18"/>
      <c r="AU2" s="18"/>
      <c r="AV2" s="18"/>
      <c r="AW2" s="19"/>
      <c r="AX2" s="18"/>
      <c r="AY2" s="18"/>
      <c r="AZ2" s="18"/>
      <c r="BA2" s="18"/>
      <c r="BB2" s="18"/>
      <c r="BC2" s="19"/>
      <c r="BD2" s="19"/>
    </row>
    <row r="3" spans="1:56" s="14" customFormat="1" x14ac:dyDescent="0.25">
      <c r="A3" s="17"/>
      <c r="B3" s="18"/>
      <c r="C3" s="31" t="s">
        <v>8</v>
      </c>
      <c r="D3" s="76"/>
      <c r="E3" s="57"/>
      <c r="F3" s="57"/>
      <c r="G3" s="58"/>
      <c r="H3" s="76"/>
      <c r="I3" s="57"/>
      <c r="J3" s="57"/>
      <c r="K3" s="58"/>
      <c r="L3" s="77"/>
      <c r="M3" s="78"/>
      <c r="N3" s="79"/>
      <c r="P3" s="76"/>
      <c r="Q3" s="57"/>
      <c r="R3" s="57"/>
      <c r="S3" s="58"/>
      <c r="T3" s="76" t="s">
        <v>15</v>
      </c>
      <c r="U3" s="57"/>
      <c r="V3" s="57"/>
      <c r="W3" s="58"/>
      <c r="X3" s="77" t="s">
        <v>16</v>
      </c>
      <c r="Y3" s="78"/>
      <c r="Z3" s="79"/>
      <c r="AA3" s="18"/>
      <c r="AB3" s="18"/>
      <c r="AC3" s="87" t="s">
        <v>90</v>
      </c>
      <c r="AD3" s="88"/>
      <c r="AE3" s="87" t="s">
        <v>91</v>
      </c>
      <c r="AF3" s="88"/>
      <c r="AG3" s="18"/>
      <c r="AH3" s="18"/>
      <c r="AI3" s="18"/>
      <c r="AJ3" s="18"/>
      <c r="AK3" s="19"/>
      <c r="AL3" s="18"/>
      <c r="AM3" s="18"/>
      <c r="AN3" s="18"/>
      <c r="AO3" s="18"/>
      <c r="AP3" s="18"/>
      <c r="AQ3" s="19"/>
      <c r="AR3" s="18"/>
      <c r="AS3" s="18"/>
      <c r="AT3" s="18"/>
      <c r="AU3" s="18"/>
      <c r="AV3" s="18"/>
      <c r="AW3" s="19"/>
      <c r="AX3" s="18"/>
      <c r="AY3" s="18"/>
      <c r="AZ3" s="18"/>
      <c r="BA3" s="18"/>
      <c r="BB3" s="18"/>
      <c r="BC3" s="19"/>
      <c r="BD3" s="19"/>
    </row>
    <row r="4" spans="1:56" s="14" customFormat="1" x14ac:dyDescent="0.25">
      <c r="A4" s="40" t="s">
        <v>5</v>
      </c>
      <c r="B4" s="41" t="s">
        <v>6</v>
      </c>
      <c r="C4" s="124" t="s">
        <v>117</v>
      </c>
      <c r="D4" s="125" t="s">
        <v>120</v>
      </c>
      <c r="E4" s="125" t="s">
        <v>125</v>
      </c>
      <c r="F4" s="125" t="s">
        <v>119</v>
      </c>
      <c r="G4" s="125" t="s">
        <v>118</v>
      </c>
      <c r="H4" s="126" t="s">
        <v>121</v>
      </c>
      <c r="I4" s="125" t="s">
        <v>122</v>
      </c>
      <c r="J4" s="125" t="s">
        <v>123</v>
      </c>
      <c r="K4" s="125" t="s">
        <v>124</v>
      </c>
      <c r="L4" s="24"/>
      <c r="M4" s="24"/>
      <c r="N4" s="24"/>
      <c r="O4" s="24"/>
      <c r="P4" s="24"/>
      <c r="Q4" s="24"/>
      <c r="R4" s="24"/>
      <c r="S4" s="33"/>
      <c r="T4" s="35" t="s">
        <v>9</v>
      </c>
      <c r="U4" s="18" t="s">
        <v>10</v>
      </c>
      <c r="V4" s="18" t="s">
        <v>11</v>
      </c>
      <c r="W4" s="33" t="s">
        <v>12</v>
      </c>
      <c r="X4" s="25" t="s">
        <v>9</v>
      </c>
      <c r="Y4" s="18" t="s">
        <v>10</v>
      </c>
      <c r="Z4" s="26" t="s">
        <v>12</v>
      </c>
      <c r="AA4" s="18"/>
      <c r="AB4" s="18" t="s">
        <v>5</v>
      </c>
      <c r="AC4" s="59" t="s">
        <v>88</v>
      </c>
      <c r="AD4" s="41" t="s">
        <v>89</v>
      </c>
      <c r="AE4" s="48" t="s">
        <v>88</v>
      </c>
      <c r="AF4" s="41" t="s">
        <v>89</v>
      </c>
      <c r="AG4" s="18"/>
      <c r="AH4" s="18"/>
      <c r="AI4" s="18"/>
      <c r="AJ4" s="18"/>
      <c r="AK4" s="19"/>
      <c r="AL4" s="18"/>
      <c r="AM4" s="18"/>
      <c r="AN4" s="18"/>
      <c r="AO4" s="18"/>
      <c r="AP4" s="18"/>
      <c r="AQ4" s="19"/>
      <c r="AR4" s="18"/>
      <c r="AS4" s="18"/>
      <c r="AT4" s="18"/>
      <c r="AU4" s="18"/>
      <c r="AV4" s="18"/>
      <c r="AW4" s="19"/>
      <c r="AX4" s="18"/>
      <c r="AY4" s="18"/>
      <c r="AZ4" s="18"/>
      <c r="BA4" s="18"/>
      <c r="BB4" s="18"/>
      <c r="BC4" s="19"/>
      <c r="BD4" s="19"/>
    </row>
    <row r="5" spans="1:56" s="14" customFormat="1" x14ac:dyDescent="0.25">
      <c r="A5" s="118">
        <v>1</v>
      </c>
      <c r="B5" s="43" t="s">
        <v>7</v>
      </c>
      <c r="C5" s="71">
        <v>385</v>
      </c>
      <c r="D5" s="71">
        <v>205</v>
      </c>
      <c r="E5" s="71">
        <v>205</v>
      </c>
      <c r="F5" s="71">
        <v>205</v>
      </c>
      <c r="G5" s="71">
        <v>205</v>
      </c>
      <c r="H5" s="71">
        <v>255</v>
      </c>
      <c r="I5" s="71">
        <v>255</v>
      </c>
      <c r="J5" s="71">
        <v>255</v>
      </c>
      <c r="K5" s="71">
        <v>300</v>
      </c>
      <c r="L5" s="35"/>
      <c r="M5" s="19"/>
      <c r="N5" s="33"/>
      <c r="O5" s="31"/>
      <c r="P5" s="25"/>
      <c r="Q5" s="18"/>
      <c r="R5" s="18"/>
      <c r="S5" s="33"/>
      <c r="T5" s="35">
        <v>16</v>
      </c>
      <c r="U5" s="18">
        <v>32</v>
      </c>
      <c r="V5" s="18">
        <v>1.18</v>
      </c>
      <c r="W5" s="33">
        <v>3</v>
      </c>
      <c r="X5" s="25">
        <v>12</v>
      </c>
      <c r="Y5" s="18">
        <v>30</v>
      </c>
      <c r="Z5" s="26">
        <v>7</v>
      </c>
      <c r="AA5" s="18"/>
      <c r="AB5" s="18">
        <v>1</v>
      </c>
      <c r="AC5" s="25">
        <v>0.36</v>
      </c>
      <c r="AD5" s="33">
        <v>22.58</v>
      </c>
      <c r="AE5" s="35">
        <v>0.36</v>
      </c>
      <c r="AF5" s="33">
        <v>22.58</v>
      </c>
      <c r="AG5" s="18"/>
      <c r="AH5" s="18"/>
      <c r="AI5" s="18"/>
      <c r="AJ5" s="18"/>
      <c r="AK5" s="19"/>
      <c r="AL5" s="18"/>
      <c r="AM5" s="18"/>
      <c r="AN5" s="18"/>
      <c r="AO5" s="18"/>
      <c r="AP5" s="18"/>
      <c r="AQ5" s="19"/>
      <c r="AR5" s="18"/>
      <c r="AS5" s="18"/>
      <c r="AT5" s="18"/>
      <c r="AU5" s="18"/>
      <c r="AV5" s="18"/>
      <c r="AW5" s="19"/>
      <c r="AX5" s="18"/>
      <c r="AY5" s="18"/>
      <c r="AZ5" s="18"/>
      <c r="BA5" s="18"/>
      <c r="BB5" s="18"/>
      <c r="BC5" s="19"/>
      <c r="BD5" s="19"/>
    </row>
    <row r="6" spans="1:56" s="14" customFormat="1" x14ac:dyDescent="0.25">
      <c r="A6" s="119">
        <v>2</v>
      </c>
      <c r="B6" s="43" t="s">
        <v>7</v>
      </c>
      <c r="C6" s="69">
        <v>435</v>
      </c>
      <c r="D6" s="69">
        <v>235</v>
      </c>
      <c r="E6" s="122">
        <v>235</v>
      </c>
      <c r="F6" s="122">
        <v>235</v>
      </c>
      <c r="G6" s="122">
        <v>310</v>
      </c>
      <c r="H6" s="122">
        <v>305</v>
      </c>
      <c r="I6" s="122">
        <v>305</v>
      </c>
      <c r="J6" s="122">
        <v>305</v>
      </c>
      <c r="K6" s="122">
        <v>400</v>
      </c>
      <c r="L6" s="35"/>
      <c r="M6" s="19"/>
      <c r="N6" s="33"/>
      <c r="O6" s="31"/>
      <c r="P6" s="25"/>
      <c r="Q6" s="18"/>
      <c r="R6" s="18"/>
      <c r="S6" s="33"/>
      <c r="T6" s="35">
        <v>16</v>
      </c>
      <c r="U6" s="18">
        <v>30</v>
      </c>
      <c r="V6" s="18">
        <v>1.68</v>
      </c>
      <c r="W6" s="33">
        <v>3</v>
      </c>
      <c r="X6" s="25">
        <v>12</v>
      </c>
      <c r="Y6" s="18">
        <v>30</v>
      </c>
      <c r="Z6" s="26">
        <v>9</v>
      </c>
      <c r="AA6" s="18"/>
      <c r="AB6" s="18">
        <v>1.5</v>
      </c>
      <c r="AC6" s="25">
        <v>0.51</v>
      </c>
      <c r="AD6" s="33">
        <v>29.44</v>
      </c>
      <c r="AE6" s="35">
        <v>0.51</v>
      </c>
      <c r="AF6" s="33">
        <v>29.44</v>
      </c>
      <c r="AG6" s="18"/>
      <c r="AH6" s="18"/>
      <c r="AI6" s="18"/>
      <c r="AJ6" s="18"/>
      <c r="AK6" s="19"/>
      <c r="AL6" s="18"/>
      <c r="AM6" s="18"/>
      <c r="AN6" s="18"/>
      <c r="AO6" s="18"/>
      <c r="AP6" s="18"/>
      <c r="AQ6" s="19"/>
      <c r="AR6" s="18"/>
      <c r="AS6" s="18"/>
      <c r="AT6" s="18"/>
      <c r="AU6" s="18"/>
      <c r="AV6" s="18"/>
      <c r="AW6" s="19"/>
      <c r="AX6" s="18"/>
      <c r="AY6" s="18"/>
      <c r="AZ6" s="18"/>
      <c r="BA6" s="18"/>
      <c r="BB6" s="18"/>
      <c r="BC6" s="19"/>
      <c r="BD6" s="19"/>
    </row>
    <row r="7" spans="1:56" s="14" customFormat="1" x14ac:dyDescent="0.25">
      <c r="A7" s="120">
        <v>3</v>
      </c>
      <c r="B7" s="43" t="s">
        <v>7</v>
      </c>
      <c r="C7" s="71">
        <v>455</v>
      </c>
      <c r="D7" s="71">
        <v>385</v>
      </c>
      <c r="E7" s="123">
        <v>255</v>
      </c>
      <c r="F7" s="123">
        <v>355</v>
      </c>
      <c r="G7" s="123">
        <v>310</v>
      </c>
      <c r="H7" s="123">
        <v>355</v>
      </c>
      <c r="I7" s="123">
        <v>405</v>
      </c>
      <c r="J7" s="123">
        <v>455</v>
      </c>
      <c r="K7" s="123">
        <v>500</v>
      </c>
      <c r="L7" s="35"/>
      <c r="M7" s="19"/>
      <c r="N7" s="33"/>
      <c r="O7" s="31"/>
      <c r="P7" s="25"/>
      <c r="Q7" s="18"/>
      <c r="R7" s="18"/>
      <c r="S7" s="33"/>
      <c r="T7" s="35">
        <v>16</v>
      </c>
      <c r="U7" s="18">
        <v>30</v>
      </c>
      <c r="V7" s="18">
        <v>2.04</v>
      </c>
      <c r="W7" s="33">
        <v>3</v>
      </c>
      <c r="X7" s="25">
        <v>12</v>
      </c>
      <c r="Y7" s="18">
        <v>30</v>
      </c>
      <c r="Z7" s="26">
        <v>10</v>
      </c>
      <c r="AA7" s="18"/>
      <c r="AB7" s="18">
        <v>2</v>
      </c>
      <c r="AC7" s="25">
        <v>0.7</v>
      </c>
      <c r="AD7" s="33">
        <v>34.67</v>
      </c>
      <c r="AE7" s="35">
        <v>0.7</v>
      </c>
      <c r="AF7" s="33">
        <v>34.67</v>
      </c>
      <c r="AG7" s="18"/>
      <c r="AH7" s="18"/>
      <c r="AI7" s="18"/>
      <c r="AJ7" s="18"/>
      <c r="AK7" s="19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9"/>
      <c r="AX7" s="18"/>
      <c r="AY7" s="18"/>
      <c r="AZ7" s="18"/>
      <c r="BA7" s="18"/>
      <c r="BB7" s="18"/>
      <c r="BC7" s="19"/>
      <c r="BD7" s="19"/>
    </row>
    <row r="8" spans="1:56" s="14" customFormat="1" x14ac:dyDescent="0.25">
      <c r="A8" s="120">
        <v>4</v>
      </c>
      <c r="B8" s="43" t="s">
        <v>7</v>
      </c>
      <c r="C8" s="71">
        <v>500</v>
      </c>
      <c r="D8" s="71">
        <v>435</v>
      </c>
      <c r="E8" s="123">
        <v>355</v>
      </c>
      <c r="F8" s="123">
        <v>405</v>
      </c>
      <c r="G8" s="123">
        <v>405</v>
      </c>
      <c r="H8" s="123">
        <v>405</v>
      </c>
      <c r="I8" s="123">
        <v>455</v>
      </c>
      <c r="J8" s="123">
        <v>535</v>
      </c>
      <c r="K8" s="123">
        <v>600</v>
      </c>
      <c r="L8" s="35"/>
      <c r="M8" s="19"/>
      <c r="N8" s="33"/>
      <c r="O8" s="31"/>
      <c r="P8" s="25"/>
      <c r="Q8" s="18"/>
      <c r="R8" s="18"/>
      <c r="S8" s="33"/>
      <c r="T8" s="35">
        <v>20</v>
      </c>
      <c r="U8" s="18">
        <v>32</v>
      </c>
      <c r="V8" s="18">
        <v>2.52</v>
      </c>
      <c r="W8" s="33">
        <v>3</v>
      </c>
      <c r="X8" s="25">
        <v>12</v>
      </c>
      <c r="Y8" s="18">
        <v>30</v>
      </c>
      <c r="Z8" s="26">
        <v>12</v>
      </c>
      <c r="AA8" s="18"/>
      <c r="AB8" s="18">
        <v>2.5</v>
      </c>
      <c r="AC8" s="25">
        <v>0.83</v>
      </c>
      <c r="AD8" s="33">
        <v>59.12</v>
      </c>
      <c r="AE8" s="35">
        <v>0.83</v>
      </c>
      <c r="AF8" s="33">
        <v>59.12</v>
      </c>
      <c r="AG8" s="18"/>
      <c r="AH8" s="18"/>
      <c r="AI8" s="18"/>
      <c r="AJ8" s="18"/>
      <c r="AK8" s="19"/>
      <c r="AL8" s="18"/>
      <c r="AM8" s="18"/>
      <c r="AN8" s="18"/>
      <c r="AO8" s="18"/>
      <c r="AP8" s="18"/>
      <c r="AQ8" s="19"/>
      <c r="AR8" s="18"/>
      <c r="AS8" s="18"/>
      <c r="AT8" s="18"/>
      <c r="AU8" s="18"/>
      <c r="AV8" s="18"/>
      <c r="AW8" s="19"/>
      <c r="AX8" s="18"/>
      <c r="AY8" s="18"/>
      <c r="AZ8" s="18"/>
      <c r="BA8" s="18"/>
      <c r="BB8" s="18"/>
      <c r="BC8" s="19"/>
      <c r="BD8" s="19"/>
    </row>
    <row r="9" spans="1:56" s="14" customFormat="1" x14ac:dyDescent="0.25">
      <c r="A9" s="120">
        <v>5</v>
      </c>
      <c r="B9" s="43" t="s">
        <v>7</v>
      </c>
      <c r="C9" s="71"/>
      <c r="D9" s="71">
        <v>535</v>
      </c>
      <c r="E9" s="123">
        <v>405</v>
      </c>
      <c r="F9" s="123">
        <v>405</v>
      </c>
      <c r="G9" s="123">
        <v>600</v>
      </c>
      <c r="H9" s="123">
        <v>600</v>
      </c>
      <c r="I9" s="123">
        <v>600</v>
      </c>
      <c r="J9" s="123">
        <v>600</v>
      </c>
      <c r="K9" s="123">
        <v>700</v>
      </c>
      <c r="L9" s="35"/>
      <c r="M9" s="19"/>
      <c r="N9" s="33"/>
      <c r="O9" s="31"/>
      <c r="P9" s="25"/>
      <c r="Q9" s="18"/>
      <c r="R9" s="18"/>
      <c r="S9" s="33"/>
      <c r="T9" s="35">
        <v>20</v>
      </c>
      <c r="U9" s="18">
        <v>26</v>
      </c>
      <c r="V9" s="18">
        <v>2.9</v>
      </c>
      <c r="W9" s="33">
        <v>4</v>
      </c>
      <c r="X9" s="25">
        <v>12</v>
      </c>
      <c r="Y9" s="18">
        <v>30</v>
      </c>
      <c r="Z9" s="26">
        <v>14</v>
      </c>
      <c r="AA9" s="18"/>
      <c r="AB9" s="18">
        <v>3</v>
      </c>
      <c r="AC9" s="25">
        <v>1.03</v>
      </c>
      <c r="AD9" s="33">
        <v>67.86</v>
      </c>
      <c r="AE9" s="35">
        <v>1.03</v>
      </c>
      <c r="AF9" s="33">
        <v>67.86</v>
      </c>
      <c r="AG9" s="18"/>
      <c r="AH9" s="18"/>
      <c r="AI9" s="18"/>
      <c r="AJ9" s="18"/>
      <c r="AK9" s="19"/>
      <c r="AL9" s="18"/>
      <c r="AM9" s="18"/>
      <c r="AN9" s="18"/>
      <c r="AO9" s="18"/>
      <c r="AP9" s="18"/>
      <c r="AQ9" s="19"/>
      <c r="AR9" s="18"/>
      <c r="AS9" s="18"/>
      <c r="AT9" s="18"/>
      <c r="AU9" s="18"/>
      <c r="AV9" s="18"/>
      <c r="AW9" s="19"/>
      <c r="AX9" s="18"/>
      <c r="AY9" s="18"/>
      <c r="AZ9" s="18"/>
      <c r="BA9" s="18"/>
      <c r="BB9" s="18"/>
      <c r="BC9" s="19"/>
      <c r="BD9" s="19"/>
    </row>
    <row r="10" spans="1:56" s="14" customFormat="1" x14ac:dyDescent="0.25">
      <c r="A10" s="120">
        <v>6</v>
      </c>
      <c r="B10" s="43" t="s">
        <v>7</v>
      </c>
      <c r="C10" s="71"/>
      <c r="D10" s="71">
        <v>635</v>
      </c>
      <c r="E10" s="123">
        <v>505</v>
      </c>
      <c r="F10" s="123">
        <v>505</v>
      </c>
      <c r="G10" s="123">
        <v>605</v>
      </c>
      <c r="H10" s="123">
        <v>605</v>
      </c>
      <c r="I10" s="123">
        <v>605</v>
      </c>
      <c r="J10" s="123">
        <v>700</v>
      </c>
      <c r="K10" s="123">
        <v>800</v>
      </c>
      <c r="L10" s="35"/>
      <c r="M10" s="19"/>
      <c r="N10" s="33"/>
      <c r="O10" s="31"/>
      <c r="P10" s="25"/>
      <c r="Q10" s="18"/>
      <c r="R10" s="18"/>
      <c r="S10" s="33"/>
      <c r="T10" s="35">
        <v>24</v>
      </c>
      <c r="U10" s="18">
        <v>32</v>
      </c>
      <c r="V10" s="18">
        <v>3.39</v>
      </c>
      <c r="W10" s="33">
        <v>3</v>
      </c>
      <c r="X10" s="25">
        <v>12</v>
      </c>
      <c r="Y10" s="18">
        <v>30</v>
      </c>
      <c r="Z10" s="26">
        <v>15</v>
      </c>
      <c r="AA10" s="18"/>
      <c r="AB10" s="18">
        <v>3.5</v>
      </c>
      <c r="AC10" s="25">
        <v>1.29</v>
      </c>
      <c r="AD10" s="33">
        <v>104.79</v>
      </c>
      <c r="AE10" s="35">
        <v>1.29</v>
      </c>
      <c r="AF10" s="33">
        <v>104.91</v>
      </c>
      <c r="AG10" s="18"/>
      <c r="AH10" s="18"/>
      <c r="AI10" s="18"/>
      <c r="AJ10" s="18"/>
      <c r="AK10" s="19"/>
      <c r="AL10" s="18"/>
      <c r="AM10" s="18"/>
      <c r="AN10" s="18"/>
      <c r="AO10" s="18"/>
      <c r="AP10" s="18"/>
      <c r="AQ10" s="19"/>
      <c r="AR10" s="18"/>
      <c r="AS10" s="18"/>
      <c r="AT10" s="18"/>
      <c r="AU10" s="18"/>
      <c r="AV10" s="18"/>
      <c r="AW10" s="19"/>
      <c r="AX10" s="18"/>
      <c r="AY10" s="18"/>
      <c r="AZ10" s="18"/>
      <c r="BA10" s="18"/>
      <c r="BB10" s="18"/>
      <c r="BC10" s="19"/>
      <c r="BD10" s="19"/>
    </row>
    <row r="11" spans="1:56" s="14" customFormat="1" x14ac:dyDescent="0.25">
      <c r="A11" s="42"/>
      <c r="B11" s="43" t="s">
        <v>7</v>
      </c>
      <c r="C11" s="31"/>
      <c r="D11" s="31"/>
      <c r="E11" s="31"/>
      <c r="F11" s="31"/>
      <c r="G11" s="26"/>
      <c r="H11" s="25"/>
      <c r="I11" s="31"/>
      <c r="J11" s="18"/>
      <c r="K11" s="33"/>
      <c r="L11" s="35"/>
      <c r="M11" s="19"/>
      <c r="N11" s="33"/>
      <c r="O11" s="31"/>
      <c r="P11" s="25"/>
      <c r="Q11" s="18"/>
      <c r="R11" s="18"/>
      <c r="S11" s="33"/>
      <c r="T11" s="35">
        <v>24</v>
      </c>
      <c r="U11" s="18">
        <v>28</v>
      </c>
      <c r="V11" s="18">
        <v>3.75</v>
      </c>
      <c r="W11" s="33">
        <v>3</v>
      </c>
      <c r="X11" s="25">
        <v>12</v>
      </c>
      <c r="Y11" s="18">
        <v>30</v>
      </c>
      <c r="Z11" s="26">
        <v>17</v>
      </c>
      <c r="AA11" s="18"/>
      <c r="AB11" s="18">
        <v>4</v>
      </c>
      <c r="AC11" s="25">
        <v>1.54</v>
      </c>
      <c r="AD11" s="33">
        <v>116.33</v>
      </c>
      <c r="AE11" s="35">
        <v>1.54</v>
      </c>
      <c r="AF11" s="33">
        <v>116.44</v>
      </c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9"/>
      <c r="AR11" s="18"/>
      <c r="AS11" s="18"/>
      <c r="AT11" s="18"/>
      <c r="AU11" s="18"/>
      <c r="AV11" s="18"/>
      <c r="AW11" s="19"/>
      <c r="AX11" s="18"/>
      <c r="AY11" s="18"/>
      <c r="AZ11" s="18"/>
      <c r="BA11" s="18"/>
      <c r="BB11" s="18"/>
      <c r="BC11" s="19"/>
      <c r="BD11" s="19"/>
    </row>
    <row r="12" spans="1:56" s="14" customFormat="1" x14ac:dyDescent="0.25">
      <c r="A12" s="42"/>
      <c r="B12" s="43" t="s">
        <v>7</v>
      </c>
      <c r="C12" s="38"/>
      <c r="D12" s="31"/>
      <c r="E12" s="31"/>
      <c r="F12" s="31"/>
      <c r="G12" s="26"/>
      <c r="H12" s="25"/>
      <c r="I12" s="31"/>
      <c r="J12" s="18"/>
      <c r="K12" s="33"/>
      <c r="L12" s="35"/>
      <c r="M12" s="19"/>
      <c r="N12" s="33"/>
      <c r="O12" s="38"/>
      <c r="P12" s="25"/>
      <c r="Q12" s="18"/>
      <c r="R12" s="18"/>
      <c r="S12" s="33"/>
      <c r="T12" s="35">
        <v>30</v>
      </c>
      <c r="U12" s="18">
        <v>36</v>
      </c>
      <c r="V12" s="18">
        <v>4.3</v>
      </c>
      <c r="W12" s="33">
        <v>3</v>
      </c>
      <c r="X12" s="25">
        <v>12</v>
      </c>
      <c r="Y12" s="18">
        <v>30</v>
      </c>
      <c r="Z12" s="26">
        <v>19</v>
      </c>
      <c r="AA12" s="18"/>
      <c r="AB12" s="18">
        <v>4.5</v>
      </c>
      <c r="AC12" s="25">
        <v>1.75</v>
      </c>
      <c r="AD12" s="33">
        <v>197.5</v>
      </c>
      <c r="AE12" s="35">
        <v>1.75</v>
      </c>
      <c r="AF12" s="33">
        <v>197.67</v>
      </c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9"/>
      <c r="AR12" s="18"/>
      <c r="AS12" s="18"/>
      <c r="AT12" s="18"/>
      <c r="AU12" s="18"/>
      <c r="AV12" s="18"/>
      <c r="AW12" s="19"/>
      <c r="AX12" s="18"/>
      <c r="AY12" s="18"/>
      <c r="AZ12" s="18"/>
      <c r="BA12" s="18"/>
      <c r="BB12" s="18"/>
      <c r="BC12" s="19"/>
      <c r="BD12" s="19"/>
    </row>
    <row r="13" spans="1:56" s="14" customFormat="1" x14ac:dyDescent="0.25">
      <c r="A13" s="42"/>
      <c r="B13" s="43" t="s">
        <v>7</v>
      </c>
      <c r="C13" s="38"/>
      <c r="D13" s="31"/>
      <c r="E13" s="31"/>
      <c r="F13" s="31"/>
      <c r="G13" s="26"/>
      <c r="H13" s="25"/>
      <c r="I13" s="31"/>
      <c r="J13" s="18"/>
      <c r="K13" s="33"/>
      <c r="L13" s="35"/>
      <c r="M13" s="19"/>
      <c r="N13" s="33"/>
      <c r="O13" s="38"/>
      <c r="P13" s="25"/>
      <c r="Q13" s="18"/>
      <c r="R13" s="18"/>
      <c r="S13" s="33"/>
      <c r="T13" s="35">
        <v>30</v>
      </c>
      <c r="U13" s="18">
        <v>36</v>
      </c>
      <c r="V13" s="18">
        <v>4.67</v>
      </c>
      <c r="W13" s="33">
        <v>3</v>
      </c>
      <c r="X13" s="25">
        <v>12</v>
      </c>
      <c r="Y13" s="18">
        <v>30</v>
      </c>
      <c r="Z13" s="26">
        <v>20</v>
      </c>
      <c r="AA13" s="18"/>
      <c r="AB13" s="18">
        <v>5</v>
      </c>
      <c r="AC13" s="27">
        <v>2.0299999999999998</v>
      </c>
      <c r="AD13" s="34">
        <v>213.7</v>
      </c>
      <c r="AE13" s="36">
        <v>2.09</v>
      </c>
      <c r="AF13" s="34">
        <v>213.88</v>
      </c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9"/>
      <c r="AR13" s="18"/>
      <c r="AS13" s="18"/>
      <c r="AT13" s="18"/>
      <c r="AU13" s="18"/>
      <c r="AV13" s="18"/>
      <c r="AW13" s="19"/>
      <c r="AX13" s="18"/>
      <c r="AY13" s="18"/>
      <c r="AZ13" s="18"/>
      <c r="BA13" s="18"/>
      <c r="BB13" s="18"/>
      <c r="BC13" s="19"/>
      <c r="BD13" s="19"/>
    </row>
    <row r="14" spans="1:56" s="14" customFormat="1" x14ac:dyDescent="0.25">
      <c r="A14" s="44"/>
      <c r="B14" s="45" t="s">
        <v>7</v>
      </c>
      <c r="C14" s="39"/>
      <c r="D14" s="32"/>
      <c r="E14" s="32"/>
      <c r="F14" s="32"/>
      <c r="G14" s="29"/>
      <c r="H14" s="27"/>
      <c r="I14" s="32"/>
      <c r="J14" s="28"/>
      <c r="K14" s="34"/>
      <c r="L14" s="36"/>
      <c r="M14" s="37"/>
      <c r="N14" s="34"/>
      <c r="O14" s="39"/>
      <c r="P14" s="27"/>
      <c r="Q14" s="28"/>
      <c r="R14" s="28"/>
      <c r="S14" s="34"/>
      <c r="T14" s="36">
        <v>30</v>
      </c>
      <c r="U14" s="28">
        <v>25</v>
      </c>
      <c r="V14" s="28">
        <v>4.67</v>
      </c>
      <c r="W14" s="34">
        <v>4</v>
      </c>
      <c r="X14" s="27">
        <v>12</v>
      </c>
      <c r="Y14" s="28">
        <v>30</v>
      </c>
      <c r="Z14" s="29">
        <v>20</v>
      </c>
      <c r="AA14" s="18"/>
      <c r="AB14" s="18"/>
      <c r="AC14" s="18"/>
      <c r="AD14" s="18"/>
      <c r="AE14" s="19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9"/>
      <c r="AX14" s="18"/>
      <c r="AY14" s="18"/>
      <c r="AZ14" s="18"/>
      <c r="BA14" s="18"/>
      <c r="BB14" s="18"/>
      <c r="BC14" s="19"/>
      <c r="BD14" s="19"/>
    </row>
    <row r="15" spans="1:56" s="14" customFormat="1" x14ac:dyDescent="0.25">
      <c r="A15" s="17"/>
      <c r="B15" s="24"/>
      <c r="C15" s="18"/>
      <c r="D15" s="18"/>
      <c r="E15" s="18"/>
      <c r="F15" s="18"/>
      <c r="G15" s="19"/>
      <c r="H15" s="18"/>
      <c r="I15" s="18"/>
      <c r="J15" s="18"/>
      <c r="K15" s="18"/>
      <c r="L15" s="19"/>
      <c r="M15" s="19"/>
      <c r="N15" s="18"/>
      <c r="O15" s="18"/>
      <c r="P15" s="18"/>
      <c r="Q15" s="18"/>
      <c r="R15" s="18"/>
      <c r="S15" s="19"/>
      <c r="T15" s="18"/>
      <c r="U15" s="18"/>
      <c r="V15" s="18"/>
      <c r="W15" s="18"/>
      <c r="X15" s="18"/>
      <c r="Y15" s="19"/>
      <c r="Z15" s="18"/>
      <c r="AA15" s="18"/>
      <c r="AB15" s="18"/>
      <c r="AC15" s="18"/>
      <c r="AD15" s="18"/>
      <c r="AE15" s="19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9"/>
      <c r="AR15" s="18"/>
      <c r="AS15" s="18"/>
      <c r="AT15" s="18"/>
      <c r="AU15" s="18"/>
      <c r="AV15" s="18"/>
      <c r="AW15" s="19"/>
      <c r="AX15" s="18"/>
      <c r="AY15" s="18"/>
      <c r="AZ15" s="18"/>
      <c r="BA15" s="18"/>
      <c r="BB15" s="18"/>
      <c r="BC15" s="19"/>
      <c r="BD15" s="19"/>
    </row>
    <row r="16" spans="1:56" x14ac:dyDescent="0.25">
      <c r="B16" s="2"/>
      <c r="C16" s="2"/>
      <c r="D16" s="2"/>
      <c r="E16" s="2"/>
      <c r="F16" s="2"/>
      <c r="G16" s="2"/>
      <c r="H16" s="125" t="s">
        <v>120</v>
      </c>
      <c r="I16" s="125" t="s">
        <v>125</v>
      </c>
      <c r="J16" s="125" t="s">
        <v>119</v>
      </c>
      <c r="K16" s="125" t="s">
        <v>118</v>
      </c>
      <c r="L16" s="126" t="s">
        <v>121</v>
      </c>
      <c r="M16" s="125" t="s">
        <v>122</v>
      </c>
      <c r="N16" s="125" t="s">
        <v>123</v>
      </c>
      <c r="O16" s="125" t="s">
        <v>124</v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</row>
    <row r="17" spans="1:56" x14ac:dyDescent="0.25">
      <c r="A17" s="1">
        <v>0</v>
      </c>
      <c r="B17" s="116" t="s">
        <v>117</v>
      </c>
      <c r="C17" s="121"/>
      <c r="D17" s="3">
        <f>VLOOKUP(E21,A17:A24,1)</f>
        <v>1.2</v>
      </c>
      <c r="E17" s="3"/>
      <c r="F17" s="3"/>
      <c r="G17" s="2"/>
      <c r="H17" s="2"/>
      <c r="I17" s="2"/>
      <c r="J17" s="2"/>
      <c r="K17" s="2"/>
      <c r="L17" s="3"/>
      <c r="M17" s="4"/>
      <c r="N17" s="3"/>
      <c r="O17" s="3"/>
      <c r="P17" s="3"/>
      <c r="Q17" s="3"/>
      <c r="R17" s="3"/>
      <c r="S17" s="4"/>
      <c r="T17" s="3"/>
      <c r="U17" s="3"/>
      <c r="V17" s="3"/>
      <c r="W17" s="3"/>
      <c r="X17" s="3"/>
      <c r="Y17" s="4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5"/>
      <c r="AX17" s="3"/>
      <c r="AY17" s="3"/>
      <c r="AZ17" s="3"/>
      <c r="BA17" s="3"/>
      <c r="BB17" s="3"/>
      <c r="BC17" s="3"/>
      <c r="BD17" s="6"/>
    </row>
    <row r="18" spans="1:56" x14ac:dyDescent="0.25">
      <c r="A18" s="6">
        <v>0.6</v>
      </c>
      <c r="B18" s="116" t="s">
        <v>120</v>
      </c>
      <c r="C18" s="121"/>
      <c r="D18" s="2"/>
      <c r="E18" s="2"/>
      <c r="F18" s="2"/>
      <c r="G18" s="69" t="s">
        <v>83</v>
      </c>
      <c r="H18" s="2"/>
      <c r="I18" s="2"/>
      <c r="J18" s="2"/>
      <c r="K18" s="2"/>
      <c r="L18" s="3"/>
      <c r="M18" s="4"/>
      <c r="N18" s="3"/>
      <c r="O18" s="3"/>
      <c r="P18" s="3"/>
      <c r="Q18" s="3"/>
      <c r="R18" s="5"/>
      <c r="S18" s="4"/>
      <c r="T18" s="3"/>
      <c r="U18" s="3"/>
      <c r="V18" s="3"/>
      <c r="W18" s="3"/>
      <c r="X18" s="3"/>
      <c r="Y18" s="4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6"/>
    </row>
    <row r="19" spans="1:56" ht="15" customHeight="1" x14ac:dyDescent="0.25">
      <c r="A19" s="7">
        <v>1.2</v>
      </c>
      <c r="B19" s="116" t="s">
        <v>125</v>
      </c>
      <c r="C19" s="121"/>
      <c r="D19" s="6"/>
      <c r="E19" s="72" t="s">
        <v>85</v>
      </c>
      <c r="F19" s="72" t="s">
        <v>85</v>
      </c>
      <c r="G19" s="70" t="s">
        <v>82</v>
      </c>
      <c r="I19" s="83" t="s">
        <v>84</v>
      </c>
      <c r="J19" s="69" t="s">
        <v>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x14ac:dyDescent="0.25">
      <c r="A20" s="7">
        <v>2.2000000000000002</v>
      </c>
      <c r="B20" s="47" t="s">
        <v>119</v>
      </c>
      <c r="C20" s="121"/>
      <c r="D20" s="7"/>
      <c r="E20" s="8" t="s">
        <v>0</v>
      </c>
      <c r="F20" s="72" t="s">
        <v>1</v>
      </c>
      <c r="G20" s="72" t="s">
        <v>85</v>
      </c>
      <c r="I20" s="84" t="s">
        <v>86</v>
      </c>
      <c r="J20" s="85" t="s">
        <v>3</v>
      </c>
      <c r="K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56" x14ac:dyDescent="0.25">
      <c r="A21" s="7">
        <v>3.2</v>
      </c>
      <c r="B21" s="47" t="s">
        <v>118</v>
      </c>
      <c r="C21" s="121"/>
      <c r="D21" s="7"/>
      <c r="E21" s="80">
        <f>[1]SLB_CU!$B$8</f>
        <v>1.649569805019155</v>
      </c>
      <c r="F21" s="11">
        <f>MROUND([1]SLB_CU!$D$5,1)</f>
        <v>1</v>
      </c>
      <c r="G21" s="89">
        <f>IF(D17=0,INDEX($C$5:$C$14,MATCH($F$21,$A$5:$A$14,0),1),IF(D17=0.6,INDEX($D$5:$D$14,MATCH($F$21,$A$5:$A$14,0),1),IF(D17=1.2,INDEX($E$5:$E$14,MATCH($F$21,$A$5:$A$14,0),1),IF(D17=2.2,INDEX($F$5:$F$14,MATCH($F$21,$A$5:$A$14,0),1),IF(D17=3.2,INDEX($G$5:$G$14,MATCH($F$21,$A$5:$A$14,0),1),IF(D17=4.2,INDEX($H$5:$H$14,MATCH($F$21,$A$5:$A$14,0),1),IF(D17=5.2,INDEX($I$5:$I$14,MATCH($F$21,$A$5:$A$14,0),1),IF(D17=6.2,INDEX($J$5:$J$14,MATCH($F$21,$A$5:$A$14,0),1),IF(D17=7.2,INDEX($K$5:$K$14,MATCH($F$21,$A$5:$A$14,0),1),IF(D17=8.2,8.2))))))))))/1000</f>
        <v>0.20499999999999999</v>
      </c>
      <c r="I21" s="81">
        <f>IF(E21&lt;1,INDEX($AC$5:$AC$13,MATCH(F21,$AB$5:$AB$13,0),1),IF(AND(E21&gt;1,E21&lt;2),INDEX($AE$5:$AE$13,MATCH(F21,$AB$5:$AB$13,0),1)))</f>
        <v>0.36</v>
      </c>
      <c r="J21" s="81">
        <f>IF(E21&lt;1,INDEX($AD$5:$AD$13,MATCH(F21,$AB$5:$AB$13,0),1),IF(AND(E21&lt;2,E21&gt;1),INDEX($AF$5:$AF$13,MATCH(F21,$AB$5:$AB$13,0),1)))</f>
        <v>22.58</v>
      </c>
      <c r="K21" s="7"/>
      <c r="M21"/>
      <c r="N21" s="7"/>
      <c r="O21" s="7"/>
      <c r="P21" s="7"/>
      <c r="Q21" s="7"/>
      <c r="R21" s="7"/>
      <c r="S21" s="7"/>
      <c r="T21" s="7"/>
      <c r="U21" s="7"/>
      <c r="V21" s="10"/>
    </row>
    <row r="22" spans="1:56" x14ac:dyDescent="0.25">
      <c r="A22" s="7">
        <v>4.2</v>
      </c>
      <c r="B22" s="117" t="s">
        <v>121</v>
      </c>
      <c r="C22" s="121"/>
      <c r="D22" s="7"/>
      <c r="E22">
        <v>1.2</v>
      </c>
      <c r="F22"/>
      <c r="G22"/>
      <c r="H22"/>
      <c r="I22"/>
      <c r="J22"/>
      <c r="K22" s="12"/>
      <c r="M22"/>
      <c r="N22" s="10"/>
      <c r="O22" s="12"/>
      <c r="P22" s="10"/>
      <c r="Q22" s="12"/>
      <c r="R22" s="10"/>
      <c r="S22" s="12"/>
      <c r="T22" s="10"/>
      <c r="U22" s="12"/>
      <c r="V22" s="10"/>
    </row>
    <row r="23" spans="1:56" x14ac:dyDescent="0.25">
      <c r="A23" s="1">
        <v>5.2</v>
      </c>
      <c r="B23" s="47" t="s">
        <v>122</v>
      </c>
      <c r="C23" s="121"/>
      <c r="D23" s="6"/>
      <c r="E23" s="6"/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56" x14ac:dyDescent="0.25">
      <c r="A24" s="13">
        <v>6.2</v>
      </c>
      <c r="B24" s="47" t="s">
        <v>123</v>
      </c>
      <c r="C24" s="121"/>
      <c r="D24" s="6"/>
      <c r="E24" s="6"/>
      <c r="F24" s="6"/>
      <c r="G24" s="6"/>
      <c r="H24" s="6"/>
      <c r="I24" s="6"/>
      <c r="J24" s="6"/>
      <c r="K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56" s="22" customFormat="1" x14ac:dyDescent="0.25">
      <c r="A25" s="13">
        <v>7.2</v>
      </c>
      <c r="B25" s="47" t="s">
        <v>124</v>
      </c>
      <c r="C25" s="121"/>
      <c r="D25" s="21"/>
      <c r="E25" s="21"/>
      <c r="F25" s="21"/>
      <c r="G25" s="21"/>
      <c r="H25" s="21"/>
      <c r="I25" s="21"/>
      <c r="J25" s="21"/>
      <c r="K25" s="21"/>
      <c r="M25" s="21"/>
      <c r="N25" s="21"/>
      <c r="O25" s="21"/>
      <c r="P25" s="21"/>
      <c r="Q25" s="21"/>
      <c r="R25" s="21"/>
      <c r="S25" s="21"/>
      <c r="T25" s="21"/>
      <c r="U25" s="21"/>
      <c r="V25" s="21"/>
    </row>
    <row r="26" spans="1:56" s="14" customFormat="1" ht="15.75" x14ac:dyDescent="0.25">
      <c r="A26" s="91" t="s">
        <v>4</v>
      </c>
      <c r="B26" s="92"/>
      <c r="C26" s="92"/>
      <c r="D26" s="18"/>
      <c r="E26" s="18"/>
      <c r="F26" s="18"/>
      <c r="G26" s="19"/>
      <c r="H26" s="18"/>
      <c r="I26" s="18" t="s">
        <v>17</v>
      </c>
      <c r="J26" s="18"/>
      <c r="K26" s="18"/>
      <c r="L26" s="19"/>
      <c r="M26" s="19"/>
      <c r="N26" s="18"/>
      <c r="O26" s="18"/>
      <c r="P26" s="18"/>
      <c r="Q26" s="18"/>
      <c r="R26" s="18"/>
      <c r="S26" s="19"/>
      <c r="T26" s="18"/>
      <c r="U26" s="18"/>
      <c r="V26" s="18"/>
      <c r="W26" s="18"/>
      <c r="X26" s="18"/>
      <c r="Y26" s="19"/>
      <c r="Z26" s="18"/>
      <c r="AA26" s="18"/>
      <c r="AB26" s="18"/>
      <c r="AC26" s="18"/>
      <c r="AD26" s="18"/>
      <c r="AE26" s="19"/>
      <c r="AF26" s="18"/>
      <c r="AG26" s="18"/>
      <c r="AH26" s="18"/>
      <c r="AI26" s="18"/>
      <c r="AJ26" s="18"/>
      <c r="AK26" s="19"/>
      <c r="AL26" s="18"/>
      <c r="AM26" s="18"/>
      <c r="AN26" s="18"/>
      <c r="AO26" s="18"/>
      <c r="AP26" s="18"/>
      <c r="AQ26" s="19"/>
      <c r="AR26" s="18"/>
      <c r="AS26" s="18"/>
      <c r="AT26" s="18"/>
      <c r="AU26" s="18"/>
      <c r="AV26" s="18"/>
      <c r="AW26" s="19"/>
      <c r="AX26" s="18"/>
      <c r="AY26" s="18"/>
      <c r="AZ26" s="18"/>
      <c r="BA26" s="18"/>
      <c r="BB26" s="18"/>
      <c r="BC26" s="19"/>
      <c r="BD26" s="19"/>
    </row>
    <row r="27" spans="1:56" s="14" customFormat="1" x14ac:dyDescent="0.25">
      <c r="A27" s="17"/>
      <c r="B27" s="18"/>
      <c r="C27" s="18"/>
      <c r="D27" s="18"/>
      <c r="E27" s="18"/>
      <c r="F27" s="18"/>
      <c r="G27" s="19"/>
      <c r="H27" s="18"/>
      <c r="I27" s="18"/>
      <c r="J27" s="18"/>
      <c r="K27" s="47" t="s">
        <v>27</v>
      </c>
      <c r="L27" s="16">
        <v>1</v>
      </c>
      <c r="M27" s="16">
        <v>2</v>
      </c>
      <c r="N27" s="16">
        <v>3</v>
      </c>
      <c r="O27" s="16">
        <v>1</v>
      </c>
      <c r="P27" s="16">
        <v>2</v>
      </c>
      <c r="Q27" s="16">
        <v>3</v>
      </c>
      <c r="R27" s="18"/>
      <c r="S27" s="19"/>
      <c r="T27" s="18"/>
      <c r="U27" s="18"/>
      <c r="V27" s="18"/>
      <c r="W27" s="18"/>
      <c r="X27" s="18"/>
      <c r="Y27" s="19"/>
      <c r="Z27" s="18"/>
      <c r="AA27" s="18"/>
      <c r="AB27" s="18"/>
      <c r="AC27" s="18"/>
      <c r="AD27" s="18"/>
      <c r="AE27" s="19"/>
      <c r="AF27" s="18"/>
      <c r="AG27" s="18"/>
      <c r="AH27" s="18"/>
      <c r="AI27" s="18"/>
      <c r="AJ27" s="18"/>
      <c r="AK27" s="19"/>
      <c r="AL27" s="18"/>
      <c r="AM27" s="18"/>
      <c r="AN27" s="18"/>
      <c r="AO27" s="18"/>
      <c r="AP27" s="18"/>
      <c r="AQ27" s="19"/>
      <c r="AR27" s="18"/>
      <c r="AS27" s="18"/>
      <c r="AT27" s="18"/>
      <c r="AU27" s="18"/>
      <c r="AV27" s="18"/>
      <c r="AW27" s="19"/>
      <c r="AX27" s="18"/>
      <c r="AY27" s="18"/>
      <c r="AZ27" s="18"/>
      <c r="BA27" s="18"/>
      <c r="BB27" s="18"/>
      <c r="BC27" s="19"/>
      <c r="BD27" s="19"/>
    </row>
    <row r="28" spans="1:56" s="14" customFormat="1" x14ac:dyDescent="0.25">
      <c r="A28" s="17"/>
      <c r="B28" s="111" t="s">
        <v>22</v>
      </c>
      <c r="C28" s="112"/>
      <c r="D28" s="112"/>
      <c r="E28" s="111" t="s">
        <v>23</v>
      </c>
      <c r="F28" s="112"/>
      <c r="G28" s="112"/>
      <c r="H28" s="111" t="s">
        <v>25</v>
      </c>
      <c r="I28" s="112"/>
      <c r="J28" s="112"/>
      <c r="K28" s="47" t="s">
        <v>92</v>
      </c>
      <c r="L28" s="55" t="s">
        <v>25</v>
      </c>
      <c r="M28" s="55" t="s">
        <v>25</v>
      </c>
      <c r="N28" s="55" t="s">
        <v>25</v>
      </c>
      <c r="O28" s="59" t="s">
        <v>94</v>
      </c>
      <c r="P28" s="60" t="s">
        <v>94</v>
      </c>
      <c r="Q28" s="41" t="s">
        <v>94</v>
      </c>
      <c r="R28" s="18"/>
      <c r="S28" s="19"/>
      <c r="T28" s="18"/>
      <c r="U28" s="18"/>
      <c r="V28" s="18"/>
      <c r="W28" s="18"/>
      <c r="X28" s="18"/>
      <c r="Y28" s="19"/>
      <c r="Z28" s="18"/>
      <c r="AA28" s="18"/>
      <c r="AB28" s="18"/>
      <c r="AC28" s="18"/>
      <c r="AD28" s="18"/>
      <c r="AE28" s="19"/>
      <c r="AF28" s="18"/>
      <c r="AG28" s="18"/>
      <c r="AH28" s="18"/>
      <c r="AI28" s="18"/>
      <c r="AJ28" s="18"/>
      <c r="AK28" s="19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9"/>
      <c r="AX28" s="18"/>
      <c r="AY28" s="18"/>
      <c r="AZ28" s="18"/>
      <c r="BA28" s="18"/>
      <c r="BB28" s="18"/>
      <c r="BC28" s="19"/>
      <c r="BD28" s="19"/>
    </row>
    <row r="29" spans="1:56" s="14" customFormat="1" x14ac:dyDescent="0.25">
      <c r="A29" s="54" t="s">
        <v>18</v>
      </c>
      <c r="B29" s="25" t="s">
        <v>19</v>
      </c>
      <c r="C29" s="18" t="s">
        <v>20</v>
      </c>
      <c r="D29" s="33" t="s">
        <v>21</v>
      </c>
      <c r="E29" s="25" t="s">
        <v>19</v>
      </c>
      <c r="F29" s="18" t="s">
        <v>20</v>
      </c>
      <c r="G29" s="26" t="s">
        <v>21</v>
      </c>
      <c r="H29" s="25" t="s">
        <v>19</v>
      </c>
      <c r="I29" s="18" t="s">
        <v>24</v>
      </c>
      <c r="J29" s="33" t="s">
        <v>21</v>
      </c>
      <c r="K29" s="31" t="s">
        <v>26</v>
      </c>
      <c r="L29" s="48" t="s">
        <v>20</v>
      </c>
      <c r="M29" s="49" t="s">
        <v>20</v>
      </c>
      <c r="N29" s="50" t="s">
        <v>20</v>
      </c>
      <c r="O29" s="25" t="s">
        <v>93</v>
      </c>
      <c r="P29" s="18" t="s">
        <v>93</v>
      </c>
      <c r="Q29" s="33" t="s">
        <v>93</v>
      </c>
      <c r="R29" s="18"/>
      <c r="S29" s="19"/>
      <c r="T29" s="18"/>
      <c r="U29" s="18"/>
      <c r="V29" s="18"/>
      <c r="W29" s="18"/>
      <c r="X29" s="18"/>
      <c r="Y29" s="19"/>
      <c r="Z29" s="18"/>
      <c r="AA29" s="18"/>
      <c r="AB29" s="18"/>
      <c r="AC29" s="18"/>
      <c r="AD29" s="18"/>
      <c r="AE29" s="19"/>
      <c r="AF29" s="18"/>
      <c r="AG29" s="18"/>
      <c r="AH29" s="18"/>
      <c r="AI29" s="18"/>
      <c r="AJ29" s="18"/>
      <c r="AK29" s="19"/>
      <c r="AL29" s="18"/>
      <c r="AM29" s="18"/>
      <c r="AN29" s="18"/>
      <c r="AO29" s="18"/>
      <c r="AP29" s="18"/>
      <c r="AQ29" s="19"/>
      <c r="AR29" s="18"/>
      <c r="AS29" s="18"/>
      <c r="AT29" s="18"/>
      <c r="AU29" s="18"/>
      <c r="AV29" s="18"/>
      <c r="AW29" s="19"/>
      <c r="AX29" s="18"/>
      <c r="AY29" s="18"/>
      <c r="AZ29" s="18"/>
      <c r="BA29" s="18"/>
      <c r="BB29" s="18"/>
      <c r="BC29" s="19"/>
      <c r="BD29" s="19"/>
    </row>
    <row r="30" spans="1:56" s="14" customFormat="1" x14ac:dyDescent="0.25">
      <c r="A30" s="51">
        <v>1</v>
      </c>
      <c r="B30" s="25">
        <v>16</v>
      </c>
      <c r="C30" s="18">
        <v>1.7</v>
      </c>
      <c r="D30" s="33">
        <v>4</v>
      </c>
      <c r="E30" s="25">
        <v>16</v>
      </c>
      <c r="F30" s="18">
        <v>1.7</v>
      </c>
      <c r="G30" s="26">
        <v>4</v>
      </c>
      <c r="H30" s="25">
        <v>12</v>
      </c>
      <c r="I30" s="18">
        <v>30</v>
      </c>
      <c r="J30" s="33">
        <v>14</v>
      </c>
      <c r="K30" s="31">
        <v>0.16</v>
      </c>
      <c r="L30" s="35">
        <v>1.25</v>
      </c>
      <c r="M30" s="19">
        <v>1.25</v>
      </c>
      <c r="N30" s="26">
        <v>1.25</v>
      </c>
      <c r="O30" s="25">
        <v>37.04</v>
      </c>
      <c r="P30" s="18">
        <v>37.04</v>
      </c>
      <c r="Q30" s="33">
        <v>37.04</v>
      </c>
      <c r="R30" s="18"/>
      <c r="S30" s="19"/>
      <c r="T30" s="18"/>
      <c r="U30" s="18"/>
      <c r="V30" s="18"/>
      <c r="W30" s="18"/>
      <c r="X30" s="18"/>
      <c r="Y30" s="19"/>
      <c r="Z30" s="18"/>
      <c r="AA30" s="18"/>
      <c r="AB30" s="18"/>
      <c r="AC30" s="18"/>
      <c r="AD30" s="18"/>
      <c r="AE30" s="19"/>
      <c r="AF30" s="18"/>
      <c r="AG30" s="18"/>
      <c r="AH30" s="18"/>
      <c r="AI30" s="18"/>
      <c r="AJ30" s="18"/>
      <c r="AK30" s="19"/>
      <c r="AL30" s="18"/>
      <c r="AM30" s="18"/>
      <c r="AN30" s="18"/>
      <c r="AO30" s="18"/>
      <c r="AP30" s="18"/>
      <c r="AQ30" s="19"/>
      <c r="AR30" s="18"/>
      <c r="AS30" s="18"/>
      <c r="AT30" s="18"/>
      <c r="AU30" s="18"/>
      <c r="AV30" s="18"/>
      <c r="AW30" s="19"/>
      <c r="AX30" s="18"/>
      <c r="AY30" s="18"/>
      <c r="AZ30" s="18"/>
      <c r="BA30" s="18"/>
      <c r="BB30" s="18"/>
      <c r="BC30" s="19"/>
      <c r="BD30" s="19"/>
    </row>
    <row r="31" spans="1:56" s="14" customFormat="1" x14ac:dyDescent="0.25">
      <c r="A31" s="52">
        <v>1.5</v>
      </c>
      <c r="B31" s="25">
        <v>16</v>
      </c>
      <c r="C31" s="18">
        <v>2.2000000000000002</v>
      </c>
      <c r="D31" s="33">
        <v>4</v>
      </c>
      <c r="E31" s="25">
        <v>16</v>
      </c>
      <c r="F31" s="18">
        <v>2.2000000000000002</v>
      </c>
      <c r="G31" s="26">
        <v>4</v>
      </c>
      <c r="H31" s="25">
        <v>12</v>
      </c>
      <c r="I31" s="18">
        <v>30</v>
      </c>
      <c r="J31" s="33">
        <v>18</v>
      </c>
      <c r="K31" s="31">
        <v>0.2</v>
      </c>
      <c r="L31" s="35">
        <v>1.31</v>
      </c>
      <c r="M31" s="19">
        <v>1.31</v>
      </c>
      <c r="N31" s="26">
        <v>1.31</v>
      </c>
      <c r="O31" s="25">
        <v>48.76</v>
      </c>
      <c r="P31" s="18">
        <v>48.76</v>
      </c>
      <c r="Q31" s="33">
        <v>48.76</v>
      </c>
      <c r="R31" s="18"/>
      <c r="S31" s="19"/>
      <c r="T31" s="18"/>
      <c r="U31" s="18"/>
      <c r="V31" s="18"/>
      <c r="W31" s="18"/>
      <c r="X31" s="18"/>
      <c r="Y31" s="19"/>
      <c r="Z31" s="18"/>
      <c r="AA31" s="18"/>
      <c r="AB31" s="18"/>
      <c r="AC31" s="18"/>
      <c r="AD31" s="18"/>
      <c r="AE31" s="19"/>
      <c r="AF31" s="18"/>
      <c r="AG31" s="18"/>
      <c r="AH31" s="18"/>
      <c r="AI31" s="18"/>
      <c r="AJ31" s="18"/>
      <c r="AK31" s="19"/>
      <c r="AL31" s="18"/>
      <c r="AM31" s="18"/>
      <c r="AN31" s="18"/>
      <c r="AO31" s="18"/>
      <c r="AP31" s="18"/>
      <c r="AQ31" s="19"/>
      <c r="AR31" s="18"/>
      <c r="AS31" s="18"/>
      <c r="AT31" s="18"/>
      <c r="AU31" s="18"/>
      <c r="AV31" s="18"/>
      <c r="AW31" s="19"/>
      <c r="AX31" s="18"/>
      <c r="AY31" s="18"/>
      <c r="AZ31" s="18"/>
      <c r="BA31" s="18"/>
      <c r="BB31" s="18"/>
      <c r="BC31" s="19"/>
      <c r="BD31" s="19"/>
    </row>
    <row r="32" spans="1:56" s="14" customFormat="1" x14ac:dyDescent="0.25">
      <c r="A32" s="52">
        <v>2</v>
      </c>
      <c r="B32" s="25">
        <v>16</v>
      </c>
      <c r="C32" s="18">
        <v>2.7</v>
      </c>
      <c r="D32" s="33">
        <v>4</v>
      </c>
      <c r="E32" s="25">
        <v>16</v>
      </c>
      <c r="F32" s="18">
        <v>2.7</v>
      </c>
      <c r="G32" s="26">
        <v>4</v>
      </c>
      <c r="H32" s="25">
        <v>12</v>
      </c>
      <c r="I32" s="18">
        <v>30</v>
      </c>
      <c r="J32" s="33">
        <v>20</v>
      </c>
      <c r="K32" s="31">
        <v>0.26</v>
      </c>
      <c r="L32" s="35">
        <v>1.33</v>
      </c>
      <c r="M32" s="19">
        <v>1.33</v>
      </c>
      <c r="N32" s="26">
        <v>1.33</v>
      </c>
      <c r="O32" s="25">
        <v>57.77</v>
      </c>
      <c r="P32" s="18">
        <v>57.77</v>
      </c>
      <c r="Q32" s="33">
        <v>58.48</v>
      </c>
      <c r="R32" s="18"/>
      <c r="S32" s="19"/>
      <c r="T32" s="18"/>
      <c r="U32" s="18"/>
      <c r="V32" s="18"/>
      <c r="W32" s="18"/>
      <c r="X32" s="18"/>
      <c r="Y32" s="19"/>
      <c r="Z32" s="18"/>
      <c r="AA32" s="18"/>
      <c r="AB32" s="18"/>
      <c r="AC32" s="18"/>
      <c r="AD32" s="18"/>
      <c r="AE32" s="19"/>
      <c r="AF32" s="18"/>
      <c r="AG32" s="18"/>
      <c r="AH32" s="18"/>
      <c r="AI32" s="18"/>
      <c r="AJ32" s="18"/>
      <c r="AK32" s="19"/>
      <c r="AL32" s="18"/>
      <c r="AM32" s="18"/>
      <c r="AN32" s="18"/>
      <c r="AO32" s="18"/>
      <c r="AP32" s="18"/>
      <c r="AQ32" s="19"/>
      <c r="AR32" s="18"/>
      <c r="AS32" s="18"/>
      <c r="AT32" s="18"/>
      <c r="AU32" s="18"/>
      <c r="AV32" s="18"/>
      <c r="AW32" s="19"/>
      <c r="AX32" s="18"/>
      <c r="AY32" s="18"/>
      <c r="AZ32" s="18"/>
      <c r="BA32" s="18"/>
      <c r="BB32" s="18"/>
      <c r="BC32" s="19"/>
      <c r="BD32" s="19"/>
    </row>
    <row r="33" spans="1:56" s="14" customFormat="1" x14ac:dyDescent="0.25">
      <c r="A33" s="52">
        <v>2.5</v>
      </c>
      <c r="B33" s="25">
        <v>16</v>
      </c>
      <c r="C33" s="18">
        <v>3.2</v>
      </c>
      <c r="D33" s="33">
        <v>4</v>
      </c>
      <c r="E33" s="25">
        <v>16</v>
      </c>
      <c r="F33" s="18">
        <v>3.2</v>
      </c>
      <c r="G33" s="26">
        <v>4</v>
      </c>
      <c r="H33" s="25">
        <v>12</v>
      </c>
      <c r="I33" s="18">
        <v>30</v>
      </c>
      <c r="J33" s="33">
        <v>24</v>
      </c>
      <c r="K33" s="31">
        <v>0.3</v>
      </c>
      <c r="L33" s="35">
        <v>1.37</v>
      </c>
      <c r="M33" s="19">
        <v>1.37</v>
      </c>
      <c r="N33" s="26">
        <v>1.37</v>
      </c>
      <c r="O33" s="25">
        <v>69.67</v>
      </c>
      <c r="P33" s="18">
        <v>69.67</v>
      </c>
      <c r="Q33" s="33">
        <v>70.52</v>
      </c>
      <c r="R33" s="18"/>
      <c r="S33" s="19"/>
      <c r="T33" s="18"/>
      <c r="U33" s="18"/>
      <c r="V33" s="18"/>
      <c r="W33" s="18"/>
      <c r="X33" s="18"/>
      <c r="Y33" s="19"/>
      <c r="Z33" s="18"/>
      <c r="AA33" s="18"/>
      <c r="AB33" s="18"/>
      <c r="AC33" s="18"/>
      <c r="AD33" s="18"/>
      <c r="AE33" s="19"/>
      <c r="AF33" s="18"/>
      <c r="AG33" s="18"/>
      <c r="AH33" s="18"/>
      <c r="AI33" s="18"/>
      <c r="AJ33" s="18"/>
      <c r="AK33" s="19"/>
      <c r="AL33" s="18"/>
      <c r="AM33" s="18"/>
      <c r="AN33" s="18"/>
      <c r="AO33" s="18"/>
      <c r="AP33" s="18"/>
      <c r="AQ33" s="19"/>
      <c r="AR33" s="18"/>
      <c r="AS33" s="18"/>
      <c r="AT33" s="18"/>
      <c r="AU33" s="18"/>
      <c r="AV33" s="18"/>
      <c r="AW33" s="19"/>
      <c r="AX33" s="18"/>
      <c r="AY33" s="18"/>
      <c r="AZ33" s="18"/>
      <c r="BA33" s="18"/>
      <c r="BB33" s="18"/>
      <c r="BC33" s="19"/>
      <c r="BD33" s="19"/>
    </row>
    <row r="34" spans="1:56" s="14" customFormat="1" x14ac:dyDescent="0.25">
      <c r="A34" s="52">
        <v>3</v>
      </c>
      <c r="B34" s="25">
        <v>16</v>
      </c>
      <c r="C34" s="18">
        <v>3.7</v>
      </c>
      <c r="D34" s="33">
        <v>4</v>
      </c>
      <c r="E34" s="25">
        <v>16</v>
      </c>
      <c r="F34" s="18">
        <v>3.7</v>
      </c>
      <c r="G34" s="26">
        <v>4</v>
      </c>
      <c r="H34" s="25">
        <v>12</v>
      </c>
      <c r="I34" s="18">
        <v>30</v>
      </c>
      <c r="J34" s="33">
        <v>28</v>
      </c>
      <c r="K34" s="31">
        <v>0.34</v>
      </c>
      <c r="L34" s="35">
        <v>1.41</v>
      </c>
      <c r="M34" s="19">
        <v>1.41</v>
      </c>
      <c r="N34" s="26">
        <v>1.41</v>
      </c>
      <c r="O34" s="25">
        <v>81.86</v>
      </c>
      <c r="P34" s="18">
        <v>82.85</v>
      </c>
      <c r="Q34" s="33">
        <v>83.35</v>
      </c>
      <c r="R34" s="18"/>
      <c r="S34" s="19"/>
      <c r="T34" s="18"/>
      <c r="U34" s="18"/>
      <c r="V34" s="18"/>
      <c r="W34" s="18"/>
      <c r="X34" s="18"/>
      <c r="Y34" s="19"/>
      <c r="Z34" s="18"/>
      <c r="AA34" s="18"/>
      <c r="AB34" s="18"/>
      <c r="AC34" s="18"/>
      <c r="AD34" s="18"/>
      <c r="AE34" s="19"/>
      <c r="AF34" s="18"/>
      <c r="AG34" s="18"/>
      <c r="AH34" s="18"/>
      <c r="AI34" s="18"/>
      <c r="AJ34" s="18"/>
      <c r="AK34" s="19"/>
      <c r="AL34" s="18"/>
      <c r="AM34" s="18"/>
      <c r="AN34" s="18"/>
      <c r="AO34" s="18"/>
      <c r="AP34" s="18"/>
      <c r="AQ34" s="19"/>
      <c r="AR34" s="18"/>
      <c r="AS34" s="18"/>
      <c r="AT34" s="18"/>
      <c r="AU34" s="18"/>
      <c r="AV34" s="18"/>
      <c r="AW34" s="19"/>
      <c r="AX34" s="18"/>
      <c r="AY34" s="18"/>
      <c r="AZ34" s="18"/>
      <c r="BA34" s="18"/>
      <c r="BB34" s="18"/>
      <c r="BC34" s="19"/>
      <c r="BD34" s="19"/>
    </row>
    <row r="35" spans="1:56" s="14" customFormat="1" x14ac:dyDescent="0.25">
      <c r="A35" s="52">
        <v>3.5</v>
      </c>
      <c r="B35" s="25">
        <v>16</v>
      </c>
      <c r="C35" s="18">
        <v>4.2</v>
      </c>
      <c r="D35" s="33">
        <v>4</v>
      </c>
      <c r="E35" s="25">
        <v>16</v>
      </c>
      <c r="F35" s="18">
        <v>4.2</v>
      </c>
      <c r="G35" s="26">
        <v>4</v>
      </c>
      <c r="H35" s="25">
        <v>12</v>
      </c>
      <c r="I35" s="18">
        <v>30</v>
      </c>
      <c r="J35" s="33">
        <v>30</v>
      </c>
      <c r="K35" s="31">
        <v>0.38</v>
      </c>
      <c r="L35" s="35">
        <v>1.45</v>
      </c>
      <c r="M35" s="19">
        <v>1.45</v>
      </c>
      <c r="N35" s="26">
        <v>1.45</v>
      </c>
      <c r="O35" s="25">
        <v>91.75</v>
      </c>
      <c r="P35" s="18">
        <v>92.82</v>
      </c>
      <c r="Q35" s="33">
        <v>93.35</v>
      </c>
      <c r="R35" s="18"/>
      <c r="S35" s="19"/>
      <c r="T35" s="18"/>
      <c r="U35" s="18"/>
      <c r="V35" s="18"/>
      <c r="W35" s="18"/>
      <c r="X35" s="18"/>
      <c r="Y35" s="19"/>
      <c r="Z35" s="18"/>
      <c r="AA35" s="18"/>
      <c r="AB35" s="18"/>
      <c r="AC35" s="18"/>
      <c r="AD35" s="18"/>
      <c r="AE35" s="19"/>
      <c r="AF35" s="18"/>
      <c r="AG35" s="18"/>
      <c r="AH35" s="18"/>
      <c r="AI35" s="18"/>
      <c r="AJ35" s="18"/>
      <c r="AK35" s="19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9"/>
      <c r="AX35" s="18"/>
      <c r="AY35" s="18"/>
      <c r="AZ35" s="18"/>
      <c r="BA35" s="18"/>
      <c r="BB35" s="18"/>
      <c r="BC35" s="19"/>
      <c r="BD35" s="19"/>
    </row>
    <row r="36" spans="1:56" s="14" customFormat="1" x14ac:dyDescent="0.25">
      <c r="A36" s="52">
        <v>4</v>
      </c>
      <c r="B36" s="25">
        <v>16</v>
      </c>
      <c r="C36" s="18">
        <v>4.7</v>
      </c>
      <c r="D36" s="33">
        <v>4</v>
      </c>
      <c r="E36" s="25">
        <v>16</v>
      </c>
      <c r="F36" s="18">
        <v>4.7</v>
      </c>
      <c r="G36" s="26">
        <v>4</v>
      </c>
      <c r="H36" s="25">
        <v>12</v>
      </c>
      <c r="I36" s="18">
        <v>30</v>
      </c>
      <c r="J36" s="33">
        <v>34</v>
      </c>
      <c r="K36" s="31">
        <v>0.44</v>
      </c>
      <c r="L36" s="35">
        <v>1.49</v>
      </c>
      <c r="M36" s="19">
        <v>1.49</v>
      </c>
      <c r="N36" s="26">
        <v>1.49</v>
      </c>
      <c r="O36" s="25">
        <v>104.43</v>
      </c>
      <c r="P36" s="18">
        <v>105.64</v>
      </c>
      <c r="Q36" s="33">
        <v>107.45</v>
      </c>
      <c r="R36" s="18"/>
      <c r="S36" s="19"/>
      <c r="T36" s="18"/>
      <c r="U36" s="18"/>
      <c r="V36" s="18"/>
      <c r="W36" s="18"/>
      <c r="X36" s="18"/>
      <c r="Y36" s="19"/>
      <c r="Z36" s="18"/>
      <c r="AA36" s="18"/>
      <c r="AB36" s="18"/>
      <c r="AC36" s="18"/>
      <c r="AD36" s="18"/>
      <c r="AE36" s="19"/>
      <c r="AF36" s="18"/>
      <c r="AG36" s="18"/>
      <c r="AH36" s="18"/>
      <c r="AI36" s="18"/>
      <c r="AJ36" s="18"/>
      <c r="AK36" s="19"/>
      <c r="AL36" s="18"/>
      <c r="AM36" s="18"/>
      <c r="AN36" s="18"/>
      <c r="AO36" s="18"/>
      <c r="AP36" s="18"/>
      <c r="AQ36" s="19"/>
      <c r="AR36" s="18"/>
      <c r="AS36" s="18"/>
      <c r="AT36" s="18"/>
      <c r="AU36" s="18"/>
      <c r="AV36" s="18"/>
      <c r="AW36" s="19"/>
      <c r="AX36" s="18"/>
      <c r="AY36" s="18"/>
      <c r="AZ36" s="18"/>
      <c r="BA36" s="18"/>
      <c r="BB36" s="18"/>
      <c r="BC36" s="19"/>
      <c r="BD36" s="19"/>
    </row>
    <row r="37" spans="1:56" s="14" customFormat="1" x14ac:dyDescent="0.25">
      <c r="A37" s="52">
        <v>4.5</v>
      </c>
      <c r="B37" s="25">
        <v>16</v>
      </c>
      <c r="C37" s="18">
        <v>5.2</v>
      </c>
      <c r="D37" s="33">
        <v>4</v>
      </c>
      <c r="E37" s="25">
        <v>16</v>
      </c>
      <c r="F37" s="18">
        <v>5.2</v>
      </c>
      <c r="G37" s="26">
        <v>4</v>
      </c>
      <c r="H37" s="25">
        <v>12</v>
      </c>
      <c r="I37" s="18">
        <v>30</v>
      </c>
      <c r="J37" s="33">
        <v>38</v>
      </c>
      <c r="K37" s="31">
        <v>0.48</v>
      </c>
      <c r="L37" s="35">
        <v>1.53</v>
      </c>
      <c r="M37" s="19">
        <v>1.53</v>
      </c>
      <c r="N37" s="26">
        <v>1.53</v>
      </c>
      <c r="O37" s="25">
        <v>117.4</v>
      </c>
      <c r="P37" s="18">
        <v>118.75</v>
      </c>
      <c r="Q37" s="33">
        <v>120.78</v>
      </c>
      <c r="R37" s="18"/>
      <c r="S37" s="19"/>
      <c r="T37" s="18"/>
      <c r="U37" s="18"/>
      <c r="V37" s="18"/>
      <c r="W37" s="18"/>
      <c r="X37" s="18"/>
      <c r="Y37" s="19"/>
      <c r="Z37" s="18"/>
      <c r="AA37" s="18"/>
      <c r="AB37" s="18"/>
      <c r="AC37" s="18"/>
      <c r="AD37" s="18"/>
      <c r="AE37" s="19"/>
      <c r="AF37" s="18"/>
      <c r="AG37" s="18"/>
      <c r="AH37" s="18"/>
      <c r="AI37" s="18"/>
      <c r="AJ37" s="18"/>
      <c r="AK37" s="19"/>
      <c r="AL37" s="18"/>
      <c r="AM37" s="18"/>
      <c r="AN37" s="18"/>
      <c r="AO37" s="18"/>
      <c r="AP37" s="18"/>
      <c r="AQ37" s="19"/>
      <c r="AR37" s="18"/>
      <c r="AS37" s="18"/>
      <c r="AT37" s="18"/>
      <c r="AU37" s="18"/>
      <c r="AV37" s="18"/>
      <c r="AW37" s="19"/>
      <c r="AX37" s="18"/>
      <c r="AY37" s="18"/>
      <c r="AZ37" s="18"/>
      <c r="BA37" s="18"/>
      <c r="BB37" s="18"/>
      <c r="BC37" s="19"/>
      <c r="BD37" s="19"/>
    </row>
    <row r="38" spans="1:56" s="14" customFormat="1" x14ac:dyDescent="0.25">
      <c r="A38" s="53">
        <v>5</v>
      </c>
      <c r="B38" s="27">
        <v>16</v>
      </c>
      <c r="C38" s="28">
        <v>5.7</v>
      </c>
      <c r="D38" s="34">
        <v>4</v>
      </c>
      <c r="E38" s="27">
        <v>16</v>
      </c>
      <c r="F38" s="28">
        <v>5.7</v>
      </c>
      <c r="G38" s="29">
        <v>4</v>
      </c>
      <c r="H38" s="27">
        <v>12</v>
      </c>
      <c r="I38" s="28">
        <v>30</v>
      </c>
      <c r="J38" s="34">
        <v>40</v>
      </c>
      <c r="K38" s="32">
        <v>0.52</v>
      </c>
      <c r="L38" s="36">
        <v>1.59</v>
      </c>
      <c r="M38" s="37">
        <v>1.59</v>
      </c>
      <c r="N38" s="29">
        <v>1.59</v>
      </c>
      <c r="O38" s="27">
        <v>128.57</v>
      </c>
      <c r="P38" s="28">
        <v>129.99</v>
      </c>
      <c r="Q38" s="34">
        <v>132.13</v>
      </c>
      <c r="R38" s="18"/>
      <c r="S38" s="19"/>
      <c r="T38" s="18"/>
      <c r="U38" s="18"/>
      <c r="V38" s="18"/>
      <c r="W38" s="18"/>
      <c r="X38" s="18"/>
      <c r="Y38" s="19"/>
      <c r="Z38" s="18"/>
      <c r="AA38" s="18"/>
      <c r="AB38" s="18"/>
      <c r="AC38" s="18"/>
      <c r="AD38" s="18"/>
      <c r="AE38" s="19"/>
      <c r="AF38" s="18"/>
      <c r="AG38" s="18"/>
      <c r="AH38" s="18"/>
      <c r="AI38" s="18"/>
      <c r="AJ38" s="18"/>
      <c r="AK38" s="19"/>
      <c r="AL38" s="18"/>
      <c r="AM38" s="18"/>
      <c r="AN38" s="18"/>
      <c r="AO38" s="18"/>
      <c r="AP38" s="18"/>
      <c r="AQ38" s="19"/>
      <c r="AR38" s="18"/>
      <c r="AS38" s="18"/>
      <c r="AT38" s="18"/>
      <c r="AU38" s="18"/>
      <c r="AV38" s="18"/>
      <c r="AW38" s="19"/>
      <c r="AX38" s="18"/>
      <c r="AY38" s="18"/>
      <c r="AZ38" s="18"/>
      <c r="BA38" s="18"/>
      <c r="BB38" s="18"/>
      <c r="BC38" s="19"/>
      <c r="BD38" s="19"/>
    </row>
    <row r="39" spans="1:56" s="14" customFormat="1" x14ac:dyDescent="0.25">
      <c r="A39" s="17"/>
      <c r="B39" s="18"/>
      <c r="C39" s="18"/>
      <c r="D39" s="18"/>
      <c r="E39" s="18"/>
      <c r="F39" s="18"/>
      <c r="G39" s="19"/>
      <c r="H39" s="18"/>
      <c r="I39" s="18"/>
      <c r="J39" s="18"/>
      <c r="K39" s="18"/>
      <c r="L39" s="19"/>
      <c r="M39" s="19"/>
      <c r="N39" s="18"/>
      <c r="O39" s="18"/>
      <c r="P39" s="18"/>
      <c r="Q39" s="18"/>
      <c r="R39" s="18"/>
      <c r="S39" s="19"/>
      <c r="T39" s="18"/>
      <c r="U39" s="18"/>
      <c r="V39" s="18"/>
      <c r="W39" s="18"/>
      <c r="X39" s="18"/>
      <c r="Y39" s="19"/>
      <c r="Z39" s="18"/>
      <c r="AA39" s="18"/>
      <c r="AB39" s="18"/>
      <c r="AC39" s="18"/>
      <c r="AD39" s="18"/>
      <c r="AE39" s="19"/>
      <c r="AF39" s="18"/>
      <c r="AG39" s="18"/>
      <c r="AH39" s="18"/>
      <c r="AI39" s="18"/>
      <c r="AJ39" s="18"/>
      <c r="AK39" s="19"/>
      <c r="AL39" s="18"/>
      <c r="AM39" s="18"/>
      <c r="AN39" s="18"/>
      <c r="AO39" s="18"/>
      <c r="AP39" s="18"/>
      <c r="AQ39" s="19"/>
      <c r="AR39" s="18"/>
      <c r="AS39" s="18"/>
      <c r="AT39" s="18"/>
      <c r="AU39" s="18"/>
      <c r="AV39" s="18"/>
      <c r="AW39" s="19"/>
      <c r="AX39" s="18"/>
      <c r="AY39" s="18"/>
      <c r="AZ39" s="18"/>
      <c r="BA39" s="18"/>
      <c r="BB39" s="18"/>
      <c r="BC39" s="19"/>
      <c r="BD39" s="19"/>
    </row>
    <row r="40" spans="1:56" customFormat="1" x14ac:dyDescent="0.25"/>
    <row r="41" spans="1:56" customFormat="1" x14ac:dyDescent="0.25">
      <c r="L41" t="str">
        <f>IF(E45&lt;1,"&lt;1",IF(AND(E45&lt;2,E45&gt;1),"2",IF(AND(E45&lt;3,E45&gt;2),"3")))</f>
        <v>2</v>
      </c>
    </row>
    <row r="42" spans="1:56" customFormat="1" x14ac:dyDescent="0.25">
      <c r="G42" s="69" t="s">
        <v>83</v>
      </c>
      <c r="I42" s="90" t="s">
        <v>95</v>
      </c>
      <c r="J42" s="82"/>
      <c r="L42">
        <f>IF(E45&lt;1,INDEX(O30:O38,MATCH(F45,A30:A38,0),1),IF(AND(E45&lt;2,E45&gt;1),INDEX(P30:P38,MATCH(F45,A30:A38,0),1),IF(AND(E45&lt;3,E45&gt;2),INDEX(Q30:Q38,MATCH(F45,A30:A38,0),1))))</f>
        <v>37.04</v>
      </c>
    </row>
    <row r="43" spans="1:56" ht="15" customHeight="1" x14ac:dyDescent="0.25">
      <c r="A43" s="6"/>
      <c r="B43" s="6"/>
      <c r="C43" s="6"/>
      <c r="D43" s="6"/>
      <c r="E43" s="6"/>
      <c r="F43" s="6"/>
      <c r="G43" s="70" t="s">
        <v>82</v>
      </c>
      <c r="H43"/>
      <c r="I43" s="83" t="s">
        <v>84</v>
      </c>
      <c r="J43" s="69" t="s">
        <v>2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</row>
    <row r="44" spans="1:56" x14ac:dyDescent="0.25">
      <c r="A44" s="7"/>
      <c r="B44" s="7"/>
      <c r="C44" s="7"/>
      <c r="D44" s="7"/>
      <c r="E44" s="8" t="s">
        <v>0</v>
      </c>
      <c r="F44" s="9" t="s">
        <v>1</v>
      </c>
      <c r="G44" s="72" t="s">
        <v>85</v>
      </c>
      <c r="H44"/>
      <c r="I44" s="84" t="s">
        <v>86</v>
      </c>
      <c r="J44" s="85" t="s">
        <v>3</v>
      </c>
      <c r="K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56" x14ac:dyDescent="0.25">
      <c r="A45" s="10"/>
      <c r="B45" s="7"/>
      <c r="C45" s="7"/>
      <c r="D45" s="7"/>
      <c r="E45" s="104">
        <f>[1]SLB_CU!$B$8</f>
        <v>1.649569805019155</v>
      </c>
      <c r="F45" s="11">
        <f>MROUND([1]SLB_CU!$D$5,1)</f>
        <v>1</v>
      </c>
      <c r="G45" s="89">
        <f>IF(E45&lt;1,INDEX($C$5:$C$14,MATCH(F45,$A$5:$A$14,0),1),IF(AND(E45&lt;2,E45&gt;1),INDEX($O$5:$O$14,MATCH(F45,$A$5:$A$14,0),1)))/100</f>
        <v>0</v>
      </c>
      <c r="H45"/>
      <c r="I45" s="81">
        <f>INDEX(K30:K38,MATCH(F45,A30:A38,0),1)</f>
        <v>0.16</v>
      </c>
      <c r="J45" s="81">
        <f>IF(E45&lt;1,INDEX(O30:O38,MATCH(F45,A30:A38,0),1),IF(AND(E45&lt;2,E45&gt;1),INDEX(P30:P38,MATCH(F45,A30:A38,0),1),IF(AND(E45&lt;3,E45&gt;2),INDEX(Q30:Q38,MATCH(F45,A30:A38,0),1))))</f>
        <v>37.04</v>
      </c>
      <c r="K45" s="7"/>
      <c r="M45"/>
      <c r="N45" s="7"/>
      <c r="O45" s="7"/>
      <c r="P45" s="7"/>
      <c r="Q45" s="7"/>
      <c r="R45" s="7"/>
      <c r="S45" s="7"/>
      <c r="T45" s="7"/>
      <c r="U45" s="7"/>
      <c r="V45" s="10"/>
    </row>
    <row r="46" spans="1:56" x14ac:dyDescent="0.25">
      <c r="A46" s="10"/>
      <c r="B46" s="10"/>
      <c r="C46" s="12"/>
      <c r="D46" s="7"/>
      <c r="E46" s="7"/>
      <c r="F46" s="10"/>
      <c r="G46" s="12"/>
      <c r="H46"/>
      <c r="I46"/>
      <c r="J46"/>
      <c r="K46" s="7"/>
      <c r="M46"/>
      <c r="N46" s="10"/>
      <c r="O46" s="12"/>
      <c r="P46" s="10"/>
      <c r="Q46" s="12"/>
      <c r="R46" s="10"/>
      <c r="S46" s="12"/>
      <c r="T46" s="10"/>
      <c r="U46" s="12"/>
      <c r="V46" s="10"/>
    </row>
    <row r="47" spans="1:56" s="22" customFormat="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M47" s="21"/>
      <c r="N47" s="21"/>
      <c r="O47" s="21"/>
      <c r="P47" s="21"/>
      <c r="Q47" s="21"/>
      <c r="R47" s="21"/>
      <c r="S47" s="21"/>
      <c r="T47" s="21"/>
      <c r="U47" s="21"/>
      <c r="V47" s="21"/>
    </row>
    <row r="48" spans="1:56" s="14" customFormat="1" x14ac:dyDescent="0.25">
      <c r="A48" s="17"/>
      <c r="B48" s="18"/>
      <c r="C48" s="18"/>
      <c r="D48" s="18"/>
      <c r="E48" s="18"/>
      <c r="F48" s="18"/>
      <c r="G48" s="19"/>
      <c r="H48" s="18"/>
      <c r="I48" s="18"/>
      <c r="J48" s="18"/>
      <c r="K48" s="18"/>
      <c r="L48" s="19"/>
      <c r="M48" s="19"/>
      <c r="N48" s="18"/>
      <c r="O48" s="18"/>
      <c r="P48" s="18"/>
      <c r="Q48" s="18"/>
      <c r="R48" s="18"/>
      <c r="S48" s="19"/>
      <c r="T48" s="18"/>
      <c r="U48" s="18"/>
      <c r="V48" s="18"/>
      <c r="W48" s="18"/>
      <c r="X48" s="18"/>
      <c r="Y48" s="19"/>
      <c r="Z48" s="18"/>
      <c r="AA48" s="18"/>
      <c r="AB48" s="18"/>
      <c r="AC48" s="18"/>
      <c r="AD48" s="18"/>
      <c r="AE48" s="19"/>
      <c r="AF48" s="18"/>
      <c r="AG48" s="18"/>
      <c r="AH48" s="18"/>
      <c r="AI48" s="18"/>
      <c r="AJ48" s="18"/>
      <c r="AK48" s="19"/>
      <c r="AL48" s="18"/>
      <c r="AM48" s="18"/>
      <c r="AN48" s="18"/>
      <c r="AO48" s="18"/>
      <c r="AP48" s="18"/>
      <c r="AQ48" s="19"/>
      <c r="AR48" s="18"/>
      <c r="AS48" s="18"/>
      <c r="AT48" s="18"/>
      <c r="AU48" s="18"/>
      <c r="AV48" s="18"/>
      <c r="AW48" s="19"/>
      <c r="AX48" s="18"/>
      <c r="AY48" s="18"/>
      <c r="AZ48" s="18"/>
      <c r="BA48" s="18"/>
      <c r="BB48" s="18"/>
      <c r="BC48" s="19"/>
      <c r="BD48" s="19"/>
    </row>
    <row r="49" spans="1:56" s="14" customFormat="1" x14ac:dyDescent="0.25">
      <c r="A49" s="17"/>
      <c r="B49" s="18"/>
      <c r="C49" s="18"/>
      <c r="D49" s="18"/>
      <c r="E49" s="18"/>
      <c r="F49" s="18"/>
      <c r="G49" s="19"/>
      <c r="H49" s="18"/>
      <c r="I49" s="18"/>
      <c r="J49" s="18"/>
      <c r="K49" s="18"/>
      <c r="L49" s="19"/>
      <c r="M49" s="19"/>
      <c r="N49" s="18"/>
      <c r="O49" s="18"/>
      <c r="P49" s="18"/>
      <c r="Q49" s="18"/>
      <c r="R49" s="18"/>
      <c r="S49" s="19"/>
      <c r="T49" s="18"/>
      <c r="U49" s="18"/>
      <c r="V49" s="18"/>
      <c r="W49" s="18"/>
      <c r="X49" s="18"/>
      <c r="Y49" s="19"/>
      <c r="Z49" s="18"/>
      <c r="AA49" s="18"/>
      <c r="AB49" s="18"/>
      <c r="AC49" s="18"/>
      <c r="AD49" s="18"/>
      <c r="AE49" s="19"/>
      <c r="AF49" s="18"/>
      <c r="AG49" s="18"/>
      <c r="AH49" s="18"/>
      <c r="AI49" s="18"/>
      <c r="AJ49" s="18"/>
      <c r="AK49" s="19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9"/>
      <c r="AX49" s="18"/>
      <c r="AY49" s="18"/>
      <c r="AZ49" s="18"/>
      <c r="BA49" s="18"/>
      <c r="BB49" s="18"/>
      <c r="BC49" s="19"/>
      <c r="BD49" s="19"/>
    </row>
    <row r="50" spans="1:56" s="14" customFormat="1" x14ac:dyDescent="0.25">
      <c r="A50" s="17"/>
      <c r="B50" s="18"/>
      <c r="C50" s="18"/>
      <c r="D50" s="18"/>
      <c r="E50" s="18"/>
      <c r="F50" s="18"/>
      <c r="G50" s="19"/>
      <c r="H50" s="18"/>
      <c r="I50" s="18"/>
      <c r="J50" s="18"/>
      <c r="K50" s="18"/>
      <c r="L50" s="19"/>
      <c r="M50" s="19"/>
      <c r="N50" s="18"/>
      <c r="O50" s="18"/>
      <c r="P50" s="18"/>
      <c r="Q50" s="18"/>
      <c r="R50" s="18"/>
      <c r="S50" s="19"/>
      <c r="T50" s="18"/>
      <c r="U50" s="18"/>
      <c r="V50" s="18"/>
      <c r="W50" s="18"/>
      <c r="X50" s="18"/>
      <c r="Y50" s="19"/>
      <c r="Z50" s="18"/>
      <c r="AA50" s="18"/>
      <c r="AB50" s="18"/>
      <c r="AC50" s="18"/>
      <c r="AD50" s="18"/>
      <c r="AE50" s="19"/>
      <c r="AF50" s="18"/>
      <c r="AG50" s="18"/>
      <c r="AH50" s="18"/>
      <c r="AI50" s="18"/>
      <c r="AJ50" s="18"/>
      <c r="AK50" s="19"/>
      <c r="AL50" s="18"/>
      <c r="AM50" s="18"/>
      <c r="AN50" s="18"/>
      <c r="AO50" s="18"/>
      <c r="AP50" s="18"/>
      <c r="AQ50" s="19"/>
      <c r="AR50" s="18"/>
      <c r="AS50" s="18"/>
      <c r="AT50" s="18"/>
      <c r="AU50" s="18"/>
      <c r="AV50" s="18"/>
      <c r="AW50" s="19"/>
      <c r="AX50" s="18"/>
      <c r="AY50" s="18"/>
      <c r="AZ50" s="18"/>
      <c r="BA50" s="18"/>
      <c r="BB50" s="18"/>
      <c r="BC50" s="19"/>
      <c r="BD50" s="19"/>
    </row>
    <row r="51" spans="1:56" s="14" customFormat="1" x14ac:dyDescent="0.25">
      <c r="A51" s="17"/>
      <c r="B51" s="18"/>
      <c r="C51" s="18"/>
      <c r="D51" s="18"/>
      <c r="E51" s="18"/>
      <c r="F51" s="18"/>
      <c r="G51" s="19"/>
      <c r="H51" s="18"/>
      <c r="I51" s="18"/>
      <c r="J51" s="18"/>
      <c r="K51" s="18"/>
      <c r="L51" s="19"/>
      <c r="M51" s="19"/>
      <c r="N51" s="18"/>
      <c r="O51" s="18"/>
      <c r="P51" s="18"/>
      <c r="Q51" s="18"/>
      <c r="R51" s="18"/>
      <c r="S51" s="19"/>
      <c r="T51" s="18"/>
      <c r="U51" s="18"/>
      <c r="V51" s="18"/>
      <c r="W51" s="18"/>
      <c r="X51" s="18"/>
      <c r="Y51" s="19"/>
      <c r="Z51" s="18"/>
      <c r="AA51" s="18"/>
      <c r="AB51" s="18"/>
      <c r="AC51" s="18"/>
      <c r="AD51" s="18"/>
      <c r="AE51" s="19"/>
      <c r="AF51" s="18"/>
      <c r="AG51" s="18"/>
      <c r="AH51" s="18"/>
      <c r="AI51" s="18"/>
      <c r="AJ51" s="18"/>
      <c r="AK51" s="19"/>
      <c r="AL51" s="18"/>
      <c r="AM51" s="18"/>
      <c r="AN51" s="18"/>
      <c r="AO51" s="18"/>
      <c r="AP51" s="18"/>
      <c r="AQ51" s="19"/>
      <c r="AR51" s="18"/>
      <c r="AS51" s="18"/>
      <c r="AT51" s="18"/>
      <c r="AU51" s="18"/>
      <c r="AV51" s="18"/>
      <c r="AW51" s="19"/>
      <c r="AX51" s="18"/>
      <c r="AY51" s="18"/>
      <c r="AZ51" s="18"/>
      <c r="BA51" s="18"/>
      <c r="BB51" s="18"/>
      <c r="BC51" s="19"/>
      <c r="BD51" s="19"/>
    </row>
    <row r="52" spans="1:56" x14ac:dyDescent="0.25">
      <c r="A52" s="13"/>
      <c r="B52" s="6"/>
      <c r="C52" s="6"/>
      <c r="D52" s="6"/>
      <c r="E52" s="6"/>
      <c r="F52" s="6"/>
      <c r="G52" s="6"/>
      <c r="H52" s="6"/>
      <c r="I52" s="6"/>
      <c r="J52" s="6"/>
      <c r="K52" s="6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spans="1:56" x14ac:dyDescent="0.25">
      <c r="A53" s="13"/>
      <c r="B53" s="6"/>
      <c r="C53" s="6"/>
      <c r="D53" s="6"/>
      <c r="E53" s="6"/>
      <c r="F53" s="6"/>
      <c r="G53" s="6"/>
      <c r="H53" s="6"/>
      <c r="I53" s="6"/>
      <c r="J53" s="6"/>
      <c r="K53" s="6"/>
      <c r="M53" s="6"/>
      <c r="N53" s="6"/>
      <c r="O53" s="6"/>
      <c r="P53" s="6"/>
      <c r="Q53" s="6"/>
      <c r="R53" s="6"/>
      <c r="S53" s="6"/>
      <c r="T53" s="6"/>
      <c r="U53" s="6"/>
      <c r="V53" s="6"/>
    </row>
  </sheetData>
  <mergeCells count="3">
    <mergeCell ref="B28:D28"/>
    <mergeCell ref="E28:G28"/>
    <mergeCell ref="H28:J2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Z45"/>
  <sheetViews>
    <sheetView topLeftCell="A4" zoomScale="85" zoomScaleNormal="85" workbookViewId="0">
      <selection activeCell="L22" sqref="L22"/>
    </sheetView>
  </sheetViews>
  <sheetFormatPr defaultRowHeight="15" x14ac:dyDescent="0.25"/>
  <cols>
    <col min="13" max="13" width="12.42578125" bestFit="1" customWidth="1"/>
  </cols>
  <sheetData>
    <row r="1" spans="1:52" s="14" customFormat="1" ht="15.75" x14ac:dyDescent="0.25">
      <c r="A1" s="23" t="s">
        <v>4</v>
      </c>
      <c r="B1" s="15"/>
      <c r="C1" s="18"/>
      <c r="D1" s="18"/>
      <c r="E1" s="18"/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9"/>
      <c r="S1" s="18"/>
      <c r="T1" s="18"/>
      <c r="U1" s="18"/>
      <c r="V1" s="18"/>
      <c r="W1" s="19"/>
      <c r="X1" s="18"/>
      <c r="Y1" s="18"/>
      <c r="Z1" s="18"/>
      <c r="AA1" s="18"/>
      <c r="AB1" s="19"/>
      <c r="AC1" s="18"/>
      <c r="AD1" s="18"/>
      <c r="AE1" s="18"/>
      <c r="AF1" s="18"/>
      <c r="AG1" s="19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9"/>
      <c r="AT1" s="18"/>
      <c r="AU1" s="18"/>
      <c r="AV1" s="18"/>
      <c r="AW1" s="18"/>
      <c r="AX1" s="18"/>
      <c r="AY1" s="19"/>
      <c r="AZ1" s="19"/>
    </row>
    <row r="2" spans="1:52" s="14" customFormat="1" x14ac:dyDescent="0.25">
      <c r="A2" s="17"/>
      <c r="B2" s="18"/>
      <c r="C2" s="18"/>
      <c r="D2" s="18"/>
      <c r="E2" s="18"/>
      <c r="F2" s="18"/>
      <c r="G2" s="19"/>
      <c r="H2" s="18"/>
      <c r="I2" s="18"/>
      <c r="J2" s="18"/>
      <c r="K2" s="18"/>
      <c r="L2" s="19"/>
      <c r="M2" s="19"/>
      <c r="N2" s="18"/>
      <c r="O2" s="18"/>
      <c r="P2" s="18"/>
      <c r="Q2" s="18"/>
      <c r="R2" s="19"/>
      <c r="S2" s="18"/>
      <c r="T2" s="18"/>
      <c r="U2" s="18"/>
      <c r="V2" s="18"/>
      <c r="W2" s="19"/>
      <c r="X2" s="18"/>
      <c r="Y2" s="18"/>
      <c r="Z2" s="18"/>
      <c r="AA2" s="18"/>
      <c r="AB2" s="19"/>
      <c r="AC2" s="18"/>
      <c r="AD2" s="18"/>
      <c r="AE2" s="18"/>
      <c r="AF2" s="18"/>
      <c r="AG2" s="19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9"/>
      <c r="AT2" s="18"/>
      <c r="AU2" s="18"/>
      <c r="AV2" s="18"/>
      <c r="AW2" s="18"/>
      <c r="AX2" s="18"/>
      <c r="AY2" s="19"/>
      <c r="AZ2" s="19"/>
    </row>
    <row r="3" spans="1:52" s="14" customFormat="1" x14ac:dyDescent="0.25">
      <c r="A3" s="54" t="s">
        <v>40</v>
      </c>
      <c r="B3" s="64">
        <v>1</v>
      </c>
      <c r="C3" s="65"/>
      <c r="D3" s="65"/>
      <c r="E3" s="65"/>
      <c r="F3" s="65"/>
      <c r="G3" s="66"/>
      <c r="H3" s="64">
        <v>2</v>
      </c>
      <c r="I3" s="65"/>
      <c r="J3" s="65"/>
      <c r="K3" s="65"/>
      <c r="L3" s="67"/>
      <c r="M3" s="66"/>
      <c r="N3" s="64">
        <v>3</v>
      </c>
      <c r="O3" s="65"/>
      <c r="P3" s="65"/>
      <c r="Q3" s="65"/>
      <c r="R3" s="67"/>
      <c r="S3" s="66"/>
      <c r="T3" s="64">
        <v>4</v>
      </c>
      <c r="U3" s="65"/>
      <c r="V3" s="65"/>
      <c r="W3" s="65"/>
      <c r="X3" s="67"/>
      <c r="Y3" s="66"/>
      <c r="Z3" s="64">
        <v>5</v>
      </c>
      <c r="AA3" s="65"/>
      <c r="AB3" s="65"/>
      <c r="AC3" s="65"/>
      <c r="AD3" s="67"/>
      <c r="AE3" s="66"/>
      <c r="AF3" s="64">
        <v>6</v>
      </c>
      <c r="AG3" s="65"/>
      <c r="AH3" s="65"/>
      <c r="AI3" s="65"/>
      <c r="AJ3" s="67"/>
      <c r="AK3" s="66"/>
      <c r="AL3" s="18"/>
      <c r="AM3" s="18"/>
      <c r="AN3" s="18"/>
      <c r="AO3" s="18"/>
      <c r="AP3" s="18"/>
      <c r="AQ3" s="18"/>
      <c r="AR3" s="18"/>
      <c r="AS3" s="19"/>
      <c r="AT3" s="18"/>
      <c r="AU3" s="18"/>
      <c r="AV3" s="18"/>
      <c r="AW3" s="18"/>
      <c r="AX3" s="18"/>
      <c r="AY3" s="19"/>
      <c r="AZ3" s="19"/>
    </row>
    <row r="4" spans="1:52" s="14" customFormat="1" x14ac:dyDescent="0.25">
      <c r="A4" s="51" t="s">
        <v>28</v>
      </c>
      <c r="B4" s="56">
        <v>0.25</v>
      </c>
      <c r="C4" s="56"/>
      <c r="D4" s="57"/>
      <c r="E4" s="57"/>
      <c r="F4" s="57"/>
      <c r="G4" s="58"/>
      <c r="H4" s="56">
        <v>0.27</v>
      </c>
      <c r="I4" s="56"/>
      <c r="J4" s="57"/>
      <c r="K4" s="57"/>
      <c r="L4" s="57"/>
      <c r="M4" s="58"/>
      <c r="N4" s="56">
        <v>0.3</v>
      </c>
      <c r="O4" s="56"/>
      <c r="P4" s="57"/>
      <c r="Q4" s="57"/>
      <c r="R4" s="57"/>
      <c r="S4" s="58"/>
      <c r="T4" s="56">
        <v>0.33</v>
      </c>
      <c r="U4" s="56"/>
      <c r="V4" s="57"/>
      <c r="W4" s="57"/>
      <c r="X4" s="57"/>
      <c r="Y4" s="58"/>
      <c r="Z4" s="56">
        <v>0.35</v>
      </c>
      <c r="AA4" s="56"/>
      <c r="AB4" s="57"/>
      <c r="AC4" s="57"/>
      <c r="AD4" s="57"/>
      <c r="AE4" s="58"/>
      <c r="AF4" s="56">
        <v>0.4</v>
      </c>
      <c r="AG4" s="56"/>
      <c r="AH4" s="57"/>
      <c r="AI4" s="57"/>
      <c r="AJ4" s="57"/>
      <c r="AK4" s="58"/>
      <c r="AL4" s="18"/>
      <c r="AM4" s="18"/>
      <c r="AN4" s="18"/>
      <c r="AO4" s="18"/>
      <c r="AP4" s="18"/>
      <c r="AQ4" s="18"/>
      <c r="AR4" s="18"/>
      <c r="AS4" s="19"/>
      <c r="AT4" s="18"/>
      <c r="AU4" s="18"/>
      <c r="AV4" s="18"/>
      <c r="AW4" s="18"/>
      <c r="AX4" s="18"/>
      <c r="AY4" s="19"/>
      <c r="AZ4" s="19"/>
    </row>
    <row r="5" spans="1:52" s="14" customFormat="1" x14ac:dyDescent="0.25">
      <c r="A5" s="52" t="s">
        <v>2</v>
      </c>
      <c r="B5" s="59" t="s">
        <v>41</v>
      </c>
      <c r="C5" s="60" t="s">
        <v>43</v>
      </c>
      <c r="D5" s="60" t="s">
        <v>44</v>
      </c>
      <c r="E5" s="61" t="s">
        <v>45</v>
      </c>
      <c r="F5" s="61" t="s">
        <v>46</v>
      </c>
      <c r="G5" s="62" t="s">
        <v>47</v>
      </c>
      <c r="H5" s="59" t="s">
        <v>41</v>
      </c>
      <c r="I5" s="60" t="s">
        <v>43</v>
      </c>
      <c r="J5" s="60" t="s">
        <v>44</v>
      </c>
      <c r="K5" s="61" t="s">
        <v>48</v>
      </c>
      <c r="L5" s="63" t="s">
        <v>49</v>
      </c>
      <c r="M5" s="62" t="s">
        <v>50</v>
      </c>
      <c r="N5" s="59" t="s">
        <v>41</v>
      </c>
      <c r="O5" s="60" t="s">
        <v>43</v>
      </c>
      <c r="P5" s="60" t="s">
        <v>44</v>
      </c>
      <c r="Q5" s="61" t="s">
        <v>48</v>
      </c>
      <c r="R5" s="63" t="s">
        <v>49</v>
      </c>
      <c r="S5" s="62" t="s">
        <v>50</v>
      </c>
      <c r="T5" s="59" t="s">
        <v>41</v>
      </c>
      <c r="U5" s="60" t="s">
        <v>43</v>
      </c>
      <c r="V5" s="60" t="s">
        <v>44</v>
      </c>
      <c r="W5" s="61" t="s">
        <v>48</v>
      </c>
      <c r="X5" s="63" t="s">
        <v>49</v>
      </c>
      <c r="Y5" s="62" t="s">
        <v>50</v>
      </c>
      <c r="Z5" s="59" t="s">
        <v>41</v>
      </c>
      <c r="AA5" s="60" t="s">
        <v>43</v>
      </c>
      <c r="AB5" s="60" t="s">
        <v>44</v>
      </c>
      <c r="AC5" s="61" t="s">
        <v>48</v>
      </c>
      <c r="AD5" s="63" t="s">
        <v>49</v>
      </c>
      <c r="AE5" s="62" t="s">
        <v>50</v>
      </c>
      <c r="AF5" s="59" t="s">
        <v>41</v>
      </c>
      <c r="AG5" s="60" t="s">
        <v>43</v>
      </c>
      <c r="AH5" s="60" t="s">
        <v>44</v>
      </c>
      <c r="AI5" s="61" t="s">
        <v>48</v>
      </c>
      <c r="AJ5" s="63" t="s">
        <v>49</v>
      </c>
      <c r="AK5" s="62" t="s">
        <v>50</v>
      </c>
      <c r="AL5" s="18"/>
      <c r="AM5" s="18"/>
      <c r="AN5" s="18"/>
      <c r="AO5" s="18"/>
      <c r="AP5" s="18"/>
      <c r="AQ5" s="18"/>
      <c r="AR5" s="18"/>
      <c r="AS5" s="19"/>
      <c r="AT5" s="18"/>
      <c r="AU5" s="18"/>
      <c r="AV5" s="18"/>
      <c r="AW5" s="18"/>
      <c r="AX5" s="18"/>
      <c r="AY5" s="19"/>
      <c r="AZ5" s="19"/>
    </row>
    <row r="6" spans="1:52" s="14" customFormat="1" x14ac:dyDescent="0.25">
      <c r="A6" s="52" t="s">
        <v>29</v>
      </c>
      <c r="B6" s="25">
        <v>16</v>
      </c>
      <c r="C6" s="18">
        <v>12</v>
      </c>
      <c r="D6" s="18">
        <v>2.04</v>
      </c>
      <c r="E6" s="18">
        <v>24.48</v>
      </c>
      <c r="F6" s="18">
        <v>38.64</v>
      </c>
      <c r="G6" s="26">
        <v>300</v>
      </c>
      <c r="H6" s="25">
        <v>16</v>
      </c>
      <c r="I6" s="18">
        <v>20</v>
      </c>
      <c r="J6" s="18">
        <v>2.08</v>
      </c>
      <c r="K6" s="18">
        <v>41.6</v>
      </c>
      <c r="L6" s="19">
        <v>65.67</v>
      </c>
      <c r="M6" s="26">
        <v>300</v>
      </c>
      <c r="N6" s="25">
        <v>16</v>
      </c>
      <c r="O6" s="18">
        <v>26</v>
      </c>
      <c r="P6" s="18">
        <v>2.17</v>
      </c>
      <c r="Q6" s="18">
        <v>56.42</v>
      </c>
      <c r="R6" s="19">
        <v>89.07</v>
      </c>
      <c r="S6" s="26">
        <v>300</v>
      </c>
      <c r="T6" s="25">
        <v>16</v>
      </c>
      <c r="U6" s="18">
        <v>32</v>
      </c>
      <c r="V6" s="18">
        <v>2.23</v>
      </c>
      <c r="W6" s="18">
        <v>71.36</v>
      </c>
      <c r="X6" s="19">
        <v>112.65</v>
      </c>
      <c r="Y6" s="26">
        <v>300</v>
      </c>
      <c r="Z6" s="25"/>
      <c r="AA6" s="18"/>
      <c r="AB6" s="18"/>
      <c r="AC6" s="18"/>
      <c r="AD6" s="19"/>
      <c r="AE6" s="26"/>
      <c r="AF6" s="25"/>
      <c r="AG6" s="18"/>
      <c r="AH6" s="18"/>
      <c r="AI6" s="18"/>
      <c r="AJ6" s="19"/>
      <c r="AK6" s="26"/>
      <c r="AL6" s="18"/>
      <c r="AM6" s="18"/>
      <c r="AN6" s="18"/>
      <c r="AO6" s="18"/>
      <c r="AP6" s="18"/>
      <c r="AQ6" s="18"/>
      <c r="AR6" s="18"/>
      <c r="AS6" s="19"/>
      <c r="AT6" s="18"/>
      <c r="AU6" s="18"/>
      <c r="AV6" s="18"/>
      <c r="AW6" s="18"/>
      <c r="AX6" s="18"/>
      <c r="AY6" s="19"/>
      <c r="AZ6" s="19"/>
    </row>
    <row r="7" spans="1:52" s="14" customFormat="1" x14ac:dyDescent="0.25">
      <c r="A7" s="52" t="s">
        <v>30</v>
      </c>
      <c r="B7" s="25">
        <v>12</v>
      </c>
      <c r="C7" s="18">
        <v>10</v>
      </c>
      <c r="D7" s="18">
        <v>1.7</v>
      </c>
      <c r="E7" s="18">
        <v>17</v>
      </c>
      <c r="F7" s="18">
        <v>15.1</v>
      </c>
      <c r="G7" s="26" t="s">
        <v>42</v>
      </c>
      <c r="H7" s="25">
        <v>12</v>
      </c>
      <c r="I7" s="18">
        <v>10</v>
      </c>
      <c r="J7" s="18">
        <v>2.7</v>
      </c>
      <c r="K7" s="18">
        <v>27</v>
      </c>
      <c r="L7" s="19">
        <v>23.98</v>
      </c>
      <c r="M7" s="26" t="s">
        <v>42</v>
      </c>
      <c r="N7" s="25">
        <v>12</v>
      </c>
      <c r="O7" s="18">
        <v>10</v>
      </c>
      <c r="P7" s="18">
        <v>3.7</v>
      </c>
      <c r="Q7" s="18">
        <v>37</v>
      </c>
      <c r="R7" s="19">
        <v>32.86</v>
      </c>
      <c r="S7" s="26" t="s">
        <v>42</v>
      </c>
      <c r="T7" s="25">
        <v>12</v>
      </c>
      <c r="U7" s="18">
        <v>10</v>
      </c>
      <c r="V7" s="18">
        <v>4.7</v>
      </c>
      <c r="W7" s="18">
        <v>47</v>
      </c>
      <c r="X7" s="19">
        <v>41.74</v>
      </c>
      <c r="Y7" s="26" t="s">
        <v>42</v>
      </c>
      <c r="Z7" s="25"/>
      <c r="AA7" s="18"/>
      <c r="AB7" s="18"/>
      <c r="AC7" s="18"/>
      <c r="AD7" s="19"/>
      <c r="AE7" s="26"/>
      <c r="AF7" s="25"/>
      <c r="AG7" s="18"/>
      <c r="AH7" s="18"/>
      <c r="AI7" s="18"/>
      <c r="AJ7" s="19"/>
      <c r="AK7" s="26"/>
      <c r="AL7" s="18"/>
      <c r="AM7" s="18"/>
      <c r="AN7" s="18"/>
      <c r="AO7" s="18"/>
      <c r="AP7" s="18"/>
      <c r="AQ7" s="18"/>
      <c r="AR7" s="18"/>
      <c r="AS7" s="19"/>
      <c r="AT7" s="18"/>
      <c r="AU7" s="18"/>
      <c r="AV7" s="18"/>
      <c r="AW7" s="18"/>
      <c r="AX7" s="18"/>
      <c r="AY7" s="19"/>
      <c r="AZ7" s="19"/>
    </row>
    <row r="8" spans="1:52" s="14" customFormat="1" x14ac:dyDescent="0.25">
      <c r="A8" s="52" t="s">
        <v>31</v>
      </c>
      <c r="B8" s="25">
        <v>16</v>
      </c>
      <c r="C8" s="18">
        <v>29</v>
      </c>
      <c r="D8" s="18">
        <v>2.1800000000000002</v>
      </c>
      <c r="E8" s="18">
        <v>63.22</v>
      </c>
      <c r="F8" s="18">
        <v>99.89</v>
      </c>
      <c r="G8" s="26">
        <v>280</v>
      </c>
      <c r="H8" s="25">
        <v>20</v>
      </c>
      <c r="I8" s="18">
        <v>22</v>
      </c>
      <c r="J8" s="18">
        <v>3.29</v>
      </c>
      <c r="K8" s="18">
        <v>79.06</v>
      </c>
      <c r="L8" s="19">
        <v>178.71</v>
      </c>
      <c r="M8" s="26">
        <v>380</v>
      </c>
      <c r="N8" s="25">
        <v>24</v>
      </c>
      <c r="O8" s="18">
        <v>17</v>
      </c>
      <c r="P8" s="18">
        <v>4.41</v>
      </c>
      <c r="Q8" s="18">
        <v>83.85</v>
      </c>
      <c r="R8" s="19">
        <v>266.52</v>
      </c>
      <c r="S8" s="26">
        <v>500</v>
      </c>
      <c r="T8" s="25">
        <v>24</v>
      </c>
      <c r="U8" s="18">
        <v>22</v>
      </c>
      <c r="V8" s="18">
        <v>5.41</v>
      </c>
      <c r="W8" s="18">
        <v>129.91</v>
      </c>
      <c r="X8" s="19">
        <v>423.12</v>
      </c>
      <c r="Y8" s="26">
        <v>380</v>
      </c>
      <c r="Z8" s="25"/>
      <c r="AA8" s="18"/>
      <c r="AB8" s="18"/>
      <c r="AC8" s="18"/>
      <c r="AD8" s="19"/>
      <c r="AE8" s="26"/>
      <c r="AF8" s="25"/>
      <c r="AG8" s="18"/>
      <c r="AH8" s="18"/>
      <c r="AI8" s="18"/>
      <c r="AJ8" s="19"/>
      <c r="AK8" s="26"/>
      <c r="AL8" s="18"/>
      <c r="AM8" s="18"/>
      <c r="AN8" s="18"/>
      <c r="AO8" s="18"/>
      <c r="AP8" s="18"/>
      <c r="AQ8" s="18"/>
      <c r="AR8" s="18"/>
      <c r="AS8" s="19"/>
      <c r="AT8" s="18"/>
      <c r="AU8" s="18"/>
      <c r="AV8" s="18"/>
      <c r="AW8" s="18"/>
      <c r="AX8" s="18"/>
      <c r="AY8" s="19"/>
      <c r="AZ8" s="19"/>
    </row>
    <row r="9" spans="1:52" s="14" customFormat="1" x14ac:dyDescent="0.25">
      <c r="A9" s="52" t="s">
        <v>32</v>
      </c>
      <c r="B9" s="25" t="s">
        <v>42</v>
      </c>
      <c r="C9" s="18" t="s">
        <v>42</v>
      </c>
      <c r="D9" s="18" t="s">
        <v>42</v>
      </c>
      <c r="E9" s="18" t="s">
        <v>42</v>
      </c>
      <c r="F9" s="18" t="s">
        <v>42</v>
      </c>
      <c r="G9" s="26" t="s">
        <v>42</v>
      </c>
      <c r="H9" s="25">
        <v>16</v>
      </c>
      <c r="I9" s="18">
        <v>5</v>
      </c>
      <c r="J9" s="18">
        <v>1.9</v>
      </c>
      <c r="K9" s="18">
        <v>9.5</v>
      </c>
      <c r="L9" s="19">
        <v>15.01</v>
      </c>
      <c r="M9" s="26">
        <v>380</v>
      </c>
      <c r="N9" s="25">
        <v>16</v>
      </c>
      <c r="O9" s="18">
        <v>4</v>
      </c>
      <c r="P9" s="18">
        <v>2.9</v>
      </c>
      <c r="Q9" s="18">
        <v>11.6</v>
      </c>
      <c r="R9" s="19">
        <v>18.329999999999998</v>
      </c>
      <c r="S9" s="26">
        <v>500</v>
      </c>
      <c r="T9" s="25">
        <v>16</v>
      </c>
      <c r="U9" s="18">
        <v>7</v>
      </c>
      <c r="V9" s="18">
        <v>3.9</v>
      </c>
      <c r="W9" s="18">
        <v>27.3</v>
      </c>
      <c r="X9" s="19">
        <v>43.1</v>
      </c>
      <c r="Y9" s="26">
        <v>380</v>
      </c>
      <c r="Z9" s="25"/>
      <c r="AA9" s="18"/>
      <c r="AB9" s="18"/>
      <c r="AC9" s="18"/>
      <c r="AD9" s="19"/>
      <c r="AE9" s="26"/>
      <c r="AF9" s="25"/>
      <c r="AG9" s="18"/>
      <c r="AH9" s="18"/>
      <c r="AI9" s="18"/>
      <c r="AJ9" s="19"/>
      <c r="AK9" s="26"/>
      <c r="AL9" s="18"/>
      <c r="AM9" s="18"/>
      <c r="AN9" s="18"/>
      <c r="AO9" s="18"/>
      <c r="AP9" s="18"/>
      <c r="AQ9" s="18"/>
      <c r="AR9" s="18"/>
      <c r="AS9" s="19"/>
      <c r="AT9" s="18"/>
      <c r="AU9" s="18"/>
      <c r="AV9" s="18"/>
      <c r="AW9" s="18"/>
      <c r="AX9" s="18"/>
      <c r="AY9" s="19"/>
      <c r="AZ9" s="19"/>
    </row>
    <row r="10" spans="1:52" s="14" customFormat="1" x14ac:dyDescent="0.25">
      <c r="A10" s="52" t="s">
        <v>33</v>
      </c>
      <c r="B10" s="25">
        <v>16</v>
      </c>
      <c r="C10" s="18">
        <v>28</v>
      </c>
      <c r="D10" s="18">
        <v>1.47</v>
      </c>
      <c r="E10" s="18">
        <v>41.16</v>
      </c>
      <c r="F10" s="18">
        <v>65.03</v>
      </c>
      <c r="G10" s="26">
        <v>280</v>
      </c>
      <c r="H10" s="25">
        <v>20</v>
      </c>
      <c r="I10" s="18">
        <v>21</v>
      </c>
      <c r="J10" s="18">
        <v>2.3199999999999998</v>
      </c>
      <c r="K10" s="18">
        <v>48.67</v>
      </c>
      <c r="L10" s="19">
        <v>120.29</v>
      </c>
      <c r="M10" s="26">
        <v>380</v>
      </c>
      <c r="N10" s="25">
        <v>24</v>
      </c>
      <c r="O10" s="18">
        <v>16</v>
      </c>
      <c r="P10" s="18">
        <v>3.28</v>
      </c>
      <c r="Q10" s="18">
        <v>52.44</v>
      </c>
      <c r="R10" s="19">
        <v>186.57</v>
      </c>
      <c r="S10" s="26">
        <v>500</v>
      </c>
      <c r="T10" s="25">
        <v>24</v>
      </c>
      <c r="U10" s="18">
        <v>21</v>
      </c>
      <c r="V10" s="18">
        <v>3.96</v>
      </c>
      <c r="W10" s="18">
        <v>83.08</v>
      </c>
      <c r="X10" s="19">
        <v>295.63</v>
      </c>
      <c r="Y10" s="26">
        <v>380</v>
      </c>
      <c r="Z10" s="25"/>
      <c r="AA10" s="18"/>
      <c r="AB10" s="18"/>
      <c r="AC10" s="18"/>
      <c r="AD10" s="19"/>
      <c r="AE10" s="26"/>
      <c r="AF10" s="25"/>
      <c r="AG10" s="18"/>
      <c r="AH10" s="18"/>
      <c r="AI10" s="18"/>
      <c r="AJ10" s="19"/>
      <c r="AK10" s="26"/>
      <c r="AL10" s="18"/>
      <c r="AM10" s="18"/>
      <c r="AN10" s="18"/>
      <c r="AO10" s="18"/>
      <c r="AP10" s="18"/>
      <c r="AQ10" s="18"/>
      <c r="AR10" s="18"/>
      <c r="AS10" s="19"/>
      <c r="AT10" s="18"/>
      <c r="AU10" s="18"/>
      <c r="AV10" s="18"/>
      <c r="AW10" s="18"/>
      <c r="AX10" s="18"/>
      <c r="AY10" s="19"/>
      <c r="AZ10" s="19"/>
    </row>
    <row r="11" spans="1:52" s="14" customFormat="1" x14ac:dyDescent="0.25">
      <c r="A11" s="52" t="s">
        <v>34</v>
      </c>
      <c r="B11" s="25">
        <v>12</v>
      </c>
      <c r="C11" s="18">
        <v>7</v>
      </c>
      <c r="D11" s="18">
        <v>7.95</v>
      </c>
      <c r="E11" s="18">
        <v>55.65</v>
      </c>
      <c r="F11" s="18">
        <v>49.42</v>
      </c>
      <c r="G11" s="26">
        <v>240</v>
      </c>
      <c r="H11" s="25">
        <v>16</v>
      </c>
      <c r="I11" s="18">
        <v>8</v>
      </c>
      <c r="J11" s="18">
        <v>7.95</v>
      </c>
      <c r="K11" s="18">
        <v>63.6</v>
      </c>
      <c r="L11" s="19">
        <v>100.4</v>
      </c>
      <c r="M11" s="26">
        <v>350</v>
      </c>
      <c r="N11" s="25">
        <v>16</v>
      </c>
      <c r="O11" s="18">
        <v>10</v>
      </c>
      <c r="P11" s="18">
        <v>7.95</v>
      </c>
      <c r="Q11" s="18">
        <v>79.5</v>
      </c>
      <c r="R11" s="19">
        <v>125.5</v>
      </c>
      <c r="S11" s="26">
        <v>380</v>
      </c>
      <c r="T11" s="25">
        <v>16</v>
      </c>
      <c r="U11" s="18">
        <v>14</v>
      </c>
      <c r="V11" s="18">
        <v>7.95</v>
      </c>
      <c r="W11" s="18">
        <v>111.3</v>
      </c>
      <c r="X11" s="19">
        <v>175.7</v>
      </c>
      <c r="Y11" s="26">
        <v>330</v>
      </c>
      <c r="Z11" s="25"/>
      <c r="AA11" s="18"/>
      <c r="AB11" s="18"/>
      <c r="AC11" s="18"/>
      <c r="AD11" s="19"/>
      <c r="AE11" s="26"/>
      <c r="AF11" s="25"/>
      <c r="AG11" s="18"/>
      <c r="AH11" s="18"/>
      <c r="AI11" s="18"/>
      <c r="AJ11" s="19"/>
      <c r="AK11" s="26"/>
      <c r="AL11" s="18"/>
      <c r="AM11" s="18"/>
      <c r="AN11" s="18"/>
      <c r="AO11" s="18"/>
      <c r="AP11" s="18"/>
      <c r="AQ11" s="18"/>
      <c r="AR11" s="18"/>
      <c r="AS11" s="19"/>
      <c r="AT11" s="18"/>
      <c r="AU11" s="18"/>
      <c r="AV11" s="18"/>
      <c r="AW11" s="18"/>
      <c r="AX11" s="18"/>
      <c r="AY11" s="19"/>
      <c r="AZ11" s="19"/>
    </row>
    <row r="12" spans="1:52" s="14" customFormat="1" x14ac:dyDescent="0.25">
      <c r="A12" s="52" t="s">
        <v>35</v>
      </c>
      <c r="B12" s="25">
        <v>12</v>
      </c>
      <c r="C12" s="18">
        <v>18</v>
      </c>
      <c r="D12" s="18">
        <v>1.7</v>
      </c>
      <c r="E12" s="18">
        <v>30.6</v>
      </c>
      <c r="F12" s="18">
        <v>27.17</v>
      </c>
      <c r="G12" s="26">
        <v>400</v>
      </c>
      <c r="H12" s="25">
        <v>12</v>
      </c>
      <c r="I12" s="18">
        <v>18</v>
      </c>
      <c r="J12" s="18">
        <v>2.7</v>
      </c>
      <c r="K12" s="18">
        <v>48.6</v>
      </c>
      <c r="L12" s="19">
        <v>43.16</v>
      </c>
      <c r="M12" s="26">
        <v>400</v>
      </c>
      <c r="N12" s="25">
        <v>12</v>
      </c>
      <c r="O12" s="18">
        <v>18</v>
      </c>
      <c r="P12" s="18">
        <v>3.7</v>
      </c>
      <c r="Q12" s="18">
        <v>66.599999999999994</v>
      </c>
      <c r="R12" s="19">
        <v>59.14</v>
      </c>
      <c r="S12" s="26">
        <v>400</v>
      </c>
      <c r="T12" s="25">
        <v>12</v>
      </c>
      <c r="U12" s="18">
        <v>18</v>
      </c>
      <c r="V12" s="18">
        <v>4.7</v>
      </c>
      <c r="W12" s="18">
        <v>84.6</v>
      </c>
      <c r="X12" s="19">
        <v>75.12</v>
      </c>
      <c r="Y12" s="26">
        <v>400</v>
      </c>
      <c r="Z12" s="25"/>
      <c r="AA12" s="18"/>
      <c r="AB12" s="18"/>
      <c r="AC12" s="18"/>
      <c r="AD12" s="19"/>
      <c r="AE12" s="26"/>
      <c r="AF12" s="25"/>
      <c r="AG12" s="18"/>
      <c r="AH12" s="18"/>
      <c r="AI12" s="18"/>
      <c r="AJ12" s="19"/>
      <c r="AK12" s="26"/>
      <c r="AL12" s="18"/>
      <c r="AM12" s="18"/>
      <c r="AN12" s="18"/>
      <c r="AO12" s="18"/>
      <c r="AP12" s="18"/>
      <c r="AQ12" s="18"/>
      <c r="AR12" s="18"/>
      <c r="AS12" s="19"/>
      <c r="AT12" s="18"/>
      <c r="AU12" s="18"/>
      <c r="AV12" s="18"/>
      <c r="AW12" s="18"/>
      <c r="AX12" s="18"/>
      <c r="AY12" s="19"/>
      <c r="AZ12" s="19"/>
    </row>
    <row r="13" spans="1:52" s="14" customFormat="1" x14ac:dyDescent="0.25">
      <c r="A13" s="53" t="s">
        <v>36</v>
      </c>
      <c r="B13" s="27">
        <v>12</v>
      </c>
      <c r="C13" s="28">
        <v>4</v>
      </c>
      <c r="D13" s="28">
        <v>8.2799999999999994</v>
      </c>
      <c r="E13" s="28">
        <v>33.119999999999997</v>
      </c>
      <c r="F13" s="28">
        <v>29.41</v>
      </c>
      <c r="G13" s="29">
        <v>400</v>
      </c>
      <c r="H13" s="27">
        <v>12</v>
      </c>
      <c r="I13" s="28">
        <v>7</v>
      </c>
      <c r="J13" s="28">
        <v>8.2799999999999994</v>
      </c>
      <c r="K13" s="28">
        <v>57.96</v>
      </c>
      <c r="L13" s="37">
        <v>51.47</v>
      </c>
      <c r="M13" s="29">
        <v>400</v>
      </c>
      <c r="N13" s="27">
        <v>12</v>
      </c>
      <c r="O13" s="28">
        <v>9</v>
      </c>
      <c r="P13" s="28">
        <v>8.2799999999999994</v>
      </c>
      <c r="Q13" s="28">
        <v>74.52</v>
      </c>
      <c r="R13" s="37">
        <v>66.17</v>
      </c>
      <c r="S13" s="29">
        <v>400</v>
      </c>
      <c r="T13" s="27">
        <v>12</v>
      </c>
      <c r="U13" s="28">
        <v>12</v>
      </c>
      <c r="V13" s="28">
        <v>8.2799999999999994</v>
      </c>
      <c r="W13" s="28">
        <v>99.36</v>
      </c>
      <c r="X13" s="37">
        <v>88.23</v>
      </c>
      <c r="Y13" s="29">
        <v>400</v>
      </c>
      <c r="Z13" s="27"/>
      <c r="AA13" s="28"/>
      <c r="AB13" s="28"/>
      <c r="AC13" s="28"/>
      <c r="AD13" s="37"/>
      <c r="AE13" s="29"/>
      <c r="AF13" s="27"/>
      <c r="AG13" s="28"/>
      <c r="AH13" s="28"/>
      <c r="AI13" s="28"/>
      <c r="AJ13" s="37"/>
      <c r="AK13" s="29"/>
      <c r="AL13" s="18"/>
      <c r="AM13" s="18"/>
      <c r="AN13" s="18"/>
      <c r="AO13" s="18"/>
      <c r="AP13" s="18"/>
      <c r="AQ13" s="18"/>
      <c r="AR13" s="18"/>
      <c r="AS13" s="19"/>
      <c r="AT13" s="18"/>
      <c r="AU13" s="18"/>
      <c r="AV13" s="18"/>
      <c r="AW13" s="18"/>
      <c r="AX13" s="18"/>
      <c r="AY13" s="19"/>
      <c r="AZ13" s="19"/>
    </row>
    <row r="14" spans="1:52" s="14" customFormat="1" x14ac:dyDescent="0.25">
      <c r="A14" s="97" t="s">
        <v>37</v>
      </c>
      <c r="B14" s="59">
        <v>3.95</v>
      </c>
      <c r="C14" s="60"/>
      <c r="D14" s="60"/>
      <c r="E14" s="60"/>
      <c r="F14" s="60"/>
      <c r="G14" s="50"/>
      <c r="H14" s="59">
        <v>6.58</v>
      </c>
      <c r="I14" s="60"/>
      <c r="J14" s="60"/>
      <c r="K14" s="60"/>
      <c r="L14" s="49"/>
      <c r="M14" s="50"/>
      <c r="N14" s="59">
        <v>9.84</v>
      </c>
      <c r="O14" s="60"/>
      <c r="P14" s="60"/>
      <c r="Q14" s="60"/>
      <c r="R14" s="49"/>
      <c r="S14" s="50"/>
      <c r="T14" s="59">
        <v>13.57</v>
      </c>
      <c r="U14" s="60"/>
      <c r="V14" s="60"/>
      <c r="W14" s="60"/>
      <c r="X14" s="49"/>
      <c r="Y14" s="50"/>
      <c r="Z14" s="59"/>
      <c r="AA14" s="60"/>
      <c r="AB14" s="60"/>
      <c r="AC14" s="60"/>
      <c r="AD14" s="49"/>
      <c r="AE14" s="50"/>
      <c r="AF14" s="59"/>
      <c r="AG14" s="60"/>
      <c r="AH14" s="60"/>
      <c r="AI14" s="60"/>
      <c r="AJ14" s="49"/>
      <c r="AK14" s="50"/>
      <c r="AL14" s="18"/>
      <c r="AM14" s="18"/>
      <c r="AN14" s="18"/>
      <c r="AO14" s="18"/>
      <c r="AP14" s="18"/>
      <c r="AQ14" s="18"/>
      <c r="AR14" s="18"/>
      <c r="AS14" s="19"/>
      <c r="AT14" s="18"/>
      <c r="AU14" s="18"/>
      <c r="AV14" s="18"/>
      <c r="AW14" s="18"/>
      <c r="AX14" s="18"/>
      <c r="AY14" s="19"/>
      <c r="AZ14" s="19"/>
    </row>
    <row r="15" spans="1:52" s="14" customFormat="1" x14ac:dyDescent="0.25">
      <c r="A15" s="17" t="s">
        <v>38</v>
      </c>
      <c r="B15" s="25">
        <v>324.66000000000003</v>
      </c>
      <c r="C15" s="18"/>
      <c r="D15" s="18"/>
      <c r="E15" s="18"/>
      <c r="F15" s="18"/>
      <c r="G15" s="26"/>
      <c r="H15" s="25">
        <v>598.69000000000005</v>
      </c>
      <c r="I15" s="18"/>
      <c r="J15" s="18"/>
      <c r="K15" s="18"/>
      <c r="L15" s="18"/>
      <c r="M15" s="26"/>
      <c r="N15" s="25">
        <v>844.15</v>
      </c>
      <c r="O15" s="18"/>
      <c r="P15" s="18"/>
      <c r="Q15" s="18"/>
      <c r="R15" s="18"/>
      <c r="S15" s="26"/>
      <c r="T15" s="25">
        <v>1255.29</v>
      </c>
      <c r="U15" s="18"/>
      <c r="V15" s="18"/>
      <c r="W15" s="18"/>
      <c r="X15" s="18"/>
      <c r="Y15" s="26"/>
      <c r="Z15" s="25"/>
      <c r="AA15" s="18"/>
      <c r="AB15" s="18"/>
      <c r="AC15" s="18"/>
      <c r="AD15" s="18"/>
      <c r="AE15" s="26"/>
      <c r="AF15" s="25"/>
      <c r="AG15" s="18"/>
      <c r="AH15" s="18"/>
      <c r="AI15" s="18"/>
      <c r="AJ15" s="18"/>
      <c r="AK15" s="26"/>
      <c r="AL15" s="18"/>
      <c r="AM15" s="18"/>
      <c r="AN15" s="18"/>
      <c r="AO15" s="18"/>
      <c r="AP15" s="18"/>
      <c r="AQ15" s="18"/>
      <c r="AR15" s="18"/>
      <c r="AS15" s="19"/>
      <c r="AT15" s="18"/>
      <c r="AU15" s="18"/>
      <c r="AV15" s="18"/>
      <c r="AW15" s="18"/>
      <c r="AX15" s="18"/>
      <c r="AY15" s="19"/>
      <c r="AZ15" s="19"/>
    </row>
    <row r="16" spans="1:52" s="14" customFormat="1" x14ac:dyDescent="0.25">
      <c r="A16" s="102" t="s">
        <v>39</v>
      </c>
      <c r="B16" s="27">
        <v>3.4</v>
      </c>
      <c r="C16" s="28"/>
      <c r="D16" s="28"/>
      <c r="E16" s="28"/>
      <c r="F16" s="28"/>
      <c r="G16" s="29"/>
      <c r="H16" s="27">
        <v>5.4</v>
      </c>
      <c r="I16" s="28"/>
      <c r="J16" s="28"/>
      <c r="K16" s="28"/>
      <c r="L16" s="37"/>
      <c r="M16" s="29"/>
      <c r="N16" s="27">
        <v>7.4</v>
      </c>
      <c r="O16" s="28"/>
      <c r="P16" s="28"/>
      <c r="Q16" s="28"/>
      <c r="R16" s="37"/>
      <c r="S16" s="29"/>
      <c r="T16" s="27">
        <v>9.4</v>
      </c>
      <c r="U16" s="28"/>
      <c r="V16" s="28"/>
      <c r="W16" s="28"/>
      <c r="X16" s="37"/>
      <c r="Y16" s="29"/>
      <c r="Z16" s="27"/>
      <c r="AA16" s="28"/>
      <c r="AB16" s="28"/>
      <c r="AC16" s="28"/>
      <c r="AD16" s="37"/>
      <c r="AE16" s="29"/>
      <c r="AF16" s="27"/>
      <c r="AG16" s="28"/>
      <c r="AH16" s="28"/>
      <c r="AI16" s="28"/>
      <c r="AJ16" s="37"/>
      <c r="AK16" s="29"/>
      <c r="AL16" s="18"/>
      <c r="AM16" s="18"/>
      <c r="AN16" s="18"/>
      <c r="AO16" s="18"/>
      <c r="AP16" s="18"/>
      <c r="AQ16" s="18"/>
      <c r="AR16" s="18"/>
      <c r="AS16" s="19"/>
      <c r="AT16" s="18"/>
      <c r="AU16" s="18"/>
      <c r="AV16" s="18"/>
      <c r="AW16" s="18"/>
      <c r="AX16" s="18"/>
      <c r="AY16" s="19"/>
      <c r="AZ16" s="19"/>
    </row>
    <row r="17" spans="1:52" s="14" customFormat="1" x14ac:dyDescent="0.25">
      <c r="A17" s="17"/>
      <c r="B17" s="18"/>
      <c r="C17" s="18"/>
      <c r="D17" s="18"/>
      <c r="E17" s="18"/>
      <c r="F17" s="18"/>
      <c r="G17" s="19"/>
      <c r="H17" s="18"/>
      <c r="I17" s="18"/>
      <c r="J17" s="18"/>
      <c r="K17" s="18"/>
      <c r="L17" s="19"/>
      <c r="M17" s="19"/>
      <c r="N17" s="18"/>
      <c r="O17" s="18"/>
      <c r="P17" s="18"/>
      <c r="Q17" s="18"/>
      <c r="R17" s="19"/>
      <c r="S17" s="18"/>
      <c r="T17" s="18"/>
      <c r="U17" s="18"/>
      <c r="V17" s="18"/>
      <c r="W17" s="19"/>
      <c r="X17" s="18"/>
      <c r="Y17" s="18"/>
      <c r="Z17" s="18"/>
      <c r="AA17" s="18"/>
      <c r="AB17" s="19"/>
      <c r="AC17" s="18"/>
      <c r="AD17" s="18"/>
      <c r="AE17" s="18"/>
      <c r="AF17" s="18"/>
      <c r="AG17" s="19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9"/>
      <c r="AT17" s="18"/>
      <c r="AU17" s="18"/>
      <c r="AV17" s="18"/>
      <c r="AW17" s="18"/>
      <c r="AX17" s="18"/>
      <c r="AY17" s="19"/>
      <c r="AZ17" s="19"/>
    </row>
    <row r="18" spans="1:52" x14ac:dyDescent="0.25">
      <c r="C18" s="3"/>
      <c r="D18" s="3"/>
      <c r="E18" s="2"/>
      <c r="F18" s="2"/>
      <c r="G18" s="2"/>
      <c r="H18" s="2"/>
      <c r="I18" s="2"/>
    </row>
    <row r="19" spans="1:52" x14ac:dyDescent="0.25">
      <c r="C19" s="2"/>
      <c r="D19" s="2"/>
      <c r="E19" s="69" t="s">
        <v>83</v>
      </c>
      <c r="F19" s="2"/>
      <c r="G19" s="98" t="s">
        <v>97</v>
      </c>
      <c r="H19" s="98" t="s">
        <v>98</v>
      </c>
      <c r="I19" s="94" t="s">
        <v>96</v>
      </c>
    </row>
    <row r="20" spans="1:52" x14ac:dyDescent="0.25">
      <c r="C20" s="72" t="s">
        <v>85</v>
      </c>
      <c r="D20" s="72" t="s">
        <v>85</v>
      </c>
      <c r="E20" s="70" t="s">
        <v>82</v>
      </c>
      <c r="F20" s="1"/>
      <c r="G20" s="83" t="s">
        <v>84</v>
      </c>
      <c r="H20" s="83" t="s">
        <v>2</v>
      </c>
      <c r="I20" s="95" t="s">
        <v>84</v>
      </c>
    </row>
    <row r="21" spans="1:52" x14ac:dyDescent="0.25">
      <c r="C21" s="8" t="s">
        <v>0</v>
      </c>
      <c r="D21" s="72" t="s">
        <v>1</v>
      </c>
      <c r="E21" s="72" t="s">
        <v>85</v>
      </c>
      <c r="F21" s="1"/>
      <c r="G21" s="84" t="s">
        <v>86</v>
      </c>
      <c r="H21" s="93" t="s">
        <v>3</v>
      </c>
      <c r="I21" s="96" t="s">
        <v>85</v>
      </c>
    </row>
    <row r="22" spans="1:52" x14ac:dyDescent="0.25">
      <c r="C22" s="80">
        <f>[1]SLB_CU!$B$8</f>
        <v>1.649569805019155</v>
      </c>
      <c r="D22" s="11">
        <f>MROUND([1]SLB_CU!$D$5,1)</f>
        <v>1</v>
      </c>
      <c r="E22" s="89">
        <f>INDEX(B3:AK4,2,MATCH(D22,B3:AK3,0))</f>
        <v>0.25</v>
      </c>
      <c r="F22" s="1"/>
      <c r="G22" s="81">
        <f>INDEX(B3:AK16,12,MATCH(D22,B3:AK3,0))</f>
        <v>3.95</v>
      </c>
      <c r="H22" s="81">
        <f>INDEX(B3:AK16,13,MATCH(D22,B3:AK3,0))</f>
        <v>324.66000000000003</v>
      </c>
      <c r="I22" s="8">
        <f>INDEX(B3:AK16,14,MATCH(D22,B3:AK3,0))</f>
        <v>3.4</v>
      </c>
    </row>
    <row r="23" spans="1:52" x14ac:dyDescent="0.25">
      <c r="I23" s="12"/>
    </row>
    <row r="25" spans="1:52" s="14" customFormat="1" x14ac:dyDescent="0.25">
      <c r="A25" s="17"/>
      <c r="B25" s="18"/>
      <c r="C25" s="18"/>
      <c r="D25" s="18"/>
      <c r="E25" s="18"/>
      <c r="F25" s="18"/>
      <c r="G25" s="19"/>
      <c r="H25" s="18"/>
      <c r="I25" s="94" t="s">
        <v>98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s="14" customFormat="1" x14ac:dyDescent="0.25">
      <c r="A26" s="17" t="s">
        <v>74</v>
      </c>
      <c r="B26" s="18"/>
      <c r="C26" s="18"/>
      <c r="D26" s="18"/>
      <c r="E26" s="18"/>
      <c r="F26" s="18"/>
      <c r="G26" s="19"/>
      <c r="H26" s="18"/>
      <c r="I26" s="99" t="s">
        <v>2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s="14" customFormat="1" x14ac:dyDescent="0.25">
      <c r="A27" s="17"/>
      <c r="B27" s="24" t="s">
        <v>53</v>
      </c>
      <c r="C27" s="18"/>
      <c r="D27" s="18"/>
      <c r="E27" s="18"/>
      <c r="F27" s="18"/>
      <c r="G27" s="19"/>
      <c r="H27" s="18"/>
      <c r="I27" s="85" t="s">
        <v>3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s="14" customFormat="1" x14ac:dyDescent="0.25">
      <c r="A28" s="40"/>
      <c r="B28" s="60"/>
      <c r="C28" s="60" t="s">
        <v>73</v>
      </c>
      <c r="D28" s="60" t="s">
        <v>72</v>
      </c>
      <c r="E28" s="60"/>
      <c r="F28" s="68" t="s">
        <v>71</v>
      </c>
      <c r="G28" s="19"/>
      <c r="H28" s="18"/>
      <c r="I28" s="81">
        <f>INDEX(F30:F35,MATCH(D22,A30:A35,0))</f>
        <v>12.13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s="14" customFormat="1" x14ac:dyDescent="0.25">
      <c r="A29" s="42" t="s">
        <v>51</v>
      </c>
      <c r="B29" s="18" t="s">
        <v>52</v>
      </c>
      <c r="C29" s="18" t="s">
        <v>54</v>
      </c>
      <c r="D29" s="18" t="s">
        <v>61</v>
      </c>
      <c r="E29" s="18" t="s">
        <v>63</v>
      </c>
      <c r="F29" s="33" t="s">
        <v>70</v>
      </c>
      <c r="G29" s="19"/>
      <c r="H29" s="18"/>
      <c r="I29" s="18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s="14" customFormat="1" x14ac:dyDescent="0.25">
      <c r="A30" s="100">
        <v>1</v>
      </c>
      <c r="B30" s="18">
        <v>12</v>
      </c>
      <c r="C30" s="18" t="s">
        <v>55</v>
      </c>
      <c r="D30" s="18" t="s">
        <v>62</v>
      </c>
      <c r="E30" s="18" t="s">
        <v>64</v>
      </c>
      <c r="F30" s="33">
        <v>12.13</v>
      </c>
      <c r="G30" s="19"/>
      <c r="H30" s="18"/>
      <c r="I30" s="18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s="14" customFormat="1" x14ac:dyDescent="0.25">
      <c r="A31" s="100">
        <v>2</v>
      </c>
      <c r="B31" s="18">
        <v>12</v>
      </c>
      <c r="C31" s="18" t="s">
        <v>56</v>
      </c>
      <c r="D31" s="18" t="s">
        <v>62</v>
      </c>
      <c r="E31" s="18" t="s">
        <v>65</v>
      </c>
      <c r="F31" s="33">
        <v>12.24</v>
      </c>
      <c r="G31" s="19"/>
      <c r="H31" s="18"/>
      <c r="I31" s="18"/>
      <c r="J31" s="18"/>
      <c r="K31" s="18"/>
      <c r="L31" s="18"/>
      <c r="M31" s="18"/>
      <c r="N31" s="18"/>
      <c r="O31" s="18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s="14" customFormat="1" x14ac:dyDescent="0.25">
      <c r="A32" s="100">
        <v>3</v>
      </c>
      <c r="B32" s="18">
        <v>12</v>
      </c>
      <c r="C32" s="18" t="s">
        <v>57</v>
      </c>
      <c r="D32" s="18" t="s">
        <v>62</v>
      </c>
      <c r="E32" s="18" t="s">
        <v>66</v>
      </c>
      <c r="F32" s="33">
        <v>14.8</v>
      </c>
      <c r="G32" s="19"/>
      <c r="H32" s="18"/>
      <c r="I32" s="18"/>
      <c r="J32" s="18"/>
      <c r="K32" s="18"/>
      <c r="L32" s="18"/>
      <c r="M32" s="18"/>
      <c r="N32" s="18"/>
      <c r="O32" s="18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s="14" customFormat="1" x14ac:dyDescent="0.25">
      <c r="A33" s="100">
        <v>4</v>
      </c>
      <c r="B33" s="18">
        <v>10</v>
      </c>
      <c r="C33" s="18" t="s">
        <v>58</v>
      </c>
      <c r="D33" s="18" t="s">
        <v>62</v>
      </c>
      <c r="E33" s="18" t="s">
        <v>67</v>
      </c>
      <c r="F33" s="33">
        <v>10.9</v>
      </c>
      <c r="G33" s="19"/>
      <c r="H33" s="18"/>
      <c r="I33" s="18"/>
      <c r="J33" s="18"/>
      <c r="K33" s="18"/>
      <c r="L33" s="18"/>
      <c r="M33" s="18"/>
      <c r="N33" s="18"/>
      <c r="O33" s="18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s="14" customFormat="1" x14ac:dyDescent="0.25">
      <c r="A34" s="100">
        <v>5</v>
      </c>
      <c r="B34" s="18">
        <v>10</v>
      </c>
      <c r="C34" s="18" t="s">
        <v>59</v>
      </c>
      <c r="D34" s="18" t="s">
        <v>62</v>
      </c>
      <c r="E34" s="18" t="s">
        <v>68</v>
      </c>
      <c r="F34" s="33">
        <v>11.99</v>
      </c>
      <c r="G34" s="19"/>
      <c r="H34" s="18"/>
      <c r="I34" s="18"/>
      <c r="J34" s="18"/>
      <c r="K34" s="18"/>
      <c r="L34" s="18"/>
      <c r="M34" s="18"/>
      <c r="N34" s="18"/>
      <c r="O34" s="18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s="14" customFormat="1" x14ac:dyDescent="0.25">
      <c r="A35" s="101">
        <v>6</v>
      </c>
      <c r="B35" s="28">
        <v>8</v>
      </c>
      <c r="C35" s="28" t="s">
        <v>60</v>
      </c>
      <c r="D35" s="28" t="s">
        <v>62</v>
      </c>
      <c r="E35" s="28" t="s">
        <v>69</v>
      </c>
      <c r="F35" s="34">
        <v>7.65</v>
      </c>
      <c r="G35" s="19"/>
      <c r="H35" s="18"/>
      <c r="I35" s="18"/>
      <c r="J35" s="18"/>
      <c r="K35" s="18"/>
      <c r="L35" s="18"/>
      <c r="M35" s="18"/>
      <c r="N35" s="18"/>
      <c r="O35" s="18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s="14" customFormat="1" x14ac:dyDescent="0.25">
      <c r="A36" s="17" t="s">
        <v>75</v>
      </c>
      <c r="B36" s="18"/>
      <c r="C36" s="18"/>
      <c r="D36" s="18"/>
      <c r="E36" s="18"/>
      <c r="F36" s="18"/>
      <c r="G36" s="19"/>
      <c r="H36" s="18"/>
      <c r="I36" s="18"/>
      <c r="J36" s="18"/>
      <c r="K36" s="18"/>
      <c r="L36" s="18"/>
      <c r="M36" s="18"/>
      <c r="N36" s="18"/>
      <c r="O36" s="18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s="14" customFormat="1" x14ac:dyDescent="0.25">
      <c r="A37" s="17"/>
      <c r="B37" s="18"/>
      <c r="C37" s="18"/>
      <c r="D37" s="18"/>
      <c r="E37" s="18"/>
      <c r="F37" s="18"/>
      <c r="G37" s="19"/>
      <c r="H37" s="18"/>
      <c r="I37" s="18"/>
      <c r="J37" s="18"/>
      <c r="K37" s="18"/>
      <c r="L37" s="18"/>
      <c r="M37" s="18"/>
      <c r="N37" s="18"/>
      <c r="O37" s="18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s="14" customFormat="1" x14ac:dyDescent="0.25">
      <c r="A38" s="40" t="s">
        <v>40</v>
      </c>
      <c r="B38" s="60" t="s">
        <v>76</v>
      </c>
      <c r="C38" s="60" t="s">
        <v>77</v>
      </c>
      <c r="D38" s="60" t="s">
        <v>78</v>
      </c>
      <c r="E38" s="60" t="s">
        <v>79</v>
      </c>
      <c r="F38" s="60" t="s">
        <v>80</v>
      </c>
      <c r="G38" s="50" t="s">
        <v>81</v>
      </c>
      <c r="H38" s="18"/>
      <c r="I38" s="71" t="s">
        <v>76</v>
      </c>
      <c r="J38" s="71" t="s">
        <v>77</v>
      </c>
      <c r="K38" s="71" t="s">
        <v>78</v>
      </c>
      <c r="L38" s="71" t="s">
        <v>79</v>
      </c>
      <c r="M38" s="71" t="s">
        <v>80</v>
      </c>
      <c r="N38" s="71" t="s">
        <v>81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s="14" customFormat="1" x14ac:dyDescent="0.25">
      <c r="A39" s="100">
        <v>1</v>
      </c>
      <c r="B39" s="18">
        <v>380</v>
      </c>
      <c r="C39" s="18">
        <v>460</v>
      </c>
      <c r="D39" s="18">
        <v>320</v>
      </c>
      <c r="E39" s="18">
        <v>400</v>
      </c>
      <c r="F39" s="18">
        <v>200</v>
      </c>
      <c r="G39" s="26">
        <v>300</v>
      </c>
      <c r="H39" s="18"/>
      <c r="I39" s="103">
        <f>INDEX($B$39:$G$43,MATCH($D$22,$A$39:$A$43,0),COLUMNS($I$39:I39))</f>
        <v>380</v>
      </c>
      <c r="J39" s="103">
        <f>INDEX($B$39:$G$43,MATCH($D$22,$A$39:$A$43,0),COLUMNS($I$39:J39))</f>
        <v>460</v>
      </c>
      <c r="K39" s="103">
        <f>INDEX($B$39:$G$43,MATCH($D$22,$A$39:$A$43,0),COLUMNS($I$39:K39))</f>
        <v>320</v>
      </c>
      <c r="L39" s="103">
        <f>INDEX($B$39:$G$43,MATCH($D$22,$A$39:$A$43,0),COLUMNS($I$39:L39))</f>
        <v>400</v>
      </c>
      <c r="M39" s="103">
        <f>INDEX($B$39:$G$43,MATCH($D$22,$A$39:$A$43,0),COLUMNS($I$39:M39))</f>
        <v>200</v>
      </c>
      <c r="N39" s="103">
        <f>INDEX($B$39:$G$43,MATCH($D$22,$A$39:$A$43,0),COLUMNS($I$39:N39))</f>
        <v>300</v>
      </c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s="14" customFormat="1" x14ac:dyDescent="0.25">
      <c r="A40" s="100">
        <v>2</v>
      </c>
      <c r="B40" s="18">
        <v>380</v>
      </c>
      <c r="C40" s="18">
        <v>480</v>
      </c>
      <c r="D40" s="18">
        <v>320</v>
      </c>
      <c r="E40" s="18">
        <v>420</v>
      </c>
      <c r="F40" s="18">
        <v>200</v>
      </c>
      <c r="G40" s="26">
        <v>300</v>
      </c>
      <c r="H40" s="18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s="14" customFormat="1" x14ac:dyDescent="0.25">
      <c r="A41" s="100">
        <v>3</v>
      </c>
      <c r="B41" s="18">
        <v>380</v>
      </c>
      <c r="C41" s="18">
        <v>510</v>
      </c>
      <c r="D41" s="18">
        <v>330</v>
      </c>
      <c r="E41" s="18">
        <v>450</v>
      </c>
      <c r="F41" s="18">
        <v>200</v>
      </c>
      <c r="G41" s="26">
        <v>300</v>
      </c>
      <c r="H41" s="18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s="14" customFormat="1" x14ac:dyDescent="0.25">
      <c r="A42" s="100">
        <v>4</v>
      </c>
      <c r="B42" s="18">
        <v>380</v>
      </c>
      <c r="C42" s="18">
        <v>540</v>
      </c>
      <c r="D42" s="18">
        <v>330</v>
      </c>
      <c r="E42" s="18">
        <v>480</v>
      </c>
      <c r="F42" s="18">
        <v>200</v>
      </c>
      <c r="G42" s="26">
        <v>300</v>
      </c>
      <c r="H42" s="18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s="14" customFormat="1" x14ac:dyDescent="0.25">
      <c r="A43" s="101">
        <v>5</v>
      </c>
      <c r="B43" s="28">
        <v>380</v>
      </c>
      <c r="C43" s="28">
        <v>560</v>
      </c>
      <c r="D43" s="28">
        <v>340</v>
      </c>
      <c r="E43" s="28">
        <v>500</v>
      </c>
      <c r="F43" s="28">
        <v>200</v>
      </c>
      <c r="G43" s="29">
        <v>300</v>
      </c>
      <c r="H43" s="18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s="14" customFormat="1" x14ac:dyDescent="0.25">
      <c r="A44" s="17"/>
      <c r="B44" s="18"/>
      <c r="C44" s="18"/>
      <c r="D44" s="18"/>
      <c r="E44" s="18"/>
      <c r="F44" s="18"/>
      <c r="G44" s="19"/>
      <c r="H44" s="18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s="14" customFormat="1" x14ac:dyDescent="0.25">
      <c r="A45" s="17"/>
      <c r="B45" s="18"/>
      <c r="C45" s="18"/>
      <c r="D45" s="18"/>
      <c r="E45" s="18"/>
      <c r="F45" s="18"/>
      <c r="G45" s="19"/>
      <c r="H45" s="18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19"/>
  <sheetViews>
    <sheetView zoomScale="85" zoomScaleNormal="85" workbookViewId="0">
      <selection activeCell="B3" sqref="B3"/>
    </sheetView>
  </sheetViews>
  <sheetFormatPr defaultRowHeight="15" x14ac:dyDescent="0.25"/>
  <cols>
    <col min="5" max="5" width="11.85546875" customWidth="1"/>
  </cols>
  <sheetData>
    <row r="1" spans="1:56" s="14" customFormat="1" ht="15.75" x14ac:dyDescent="0.25">
      <c r="A1" s="23" t="s">
        <v>100</v>
      </c>
      <c r="B1" s="15"/>
      <c r="C1" s="65"/>
      <c r="D1" s="65"/>
      <c r="E1" s="88"/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8"/>
      <c r="S1" s="19"/>
      <c r="T1" s="18"/>
      <c r="U1" s="18"/>
      <c r="V1" s="18"/>
      <c r="W1" s="18"/>
      <c r="X1" s="18"/>
      <c r="Y1" s="19"/>
      <c r="Z1" s="18"/>
      <c r="AA1" s="18"/>
      <c r="AB1" s="18"/>
      <c r="AC1" s="18"/>
      <c r="AD1" s="18"/>
      <c r="AE1" s="19"/>
      <c r="AF1" s="18"/>
      <c r="AG1" s="18"/>
      <c r="AH1" s="18"/>
      <c r="AI1" s="18"/>
      <c r="AJ1" s="18"/>
      <c r="AK1" s="19"/>
      <c r="AL1" s="18"/>
      <c r="AM1" s="18"/>
      <c r="AN1" s="18"/>
      <c r="AO1" s="18"/>
      <c r="AP1" s="18"/>
      <c r="AQ1" s="19"/>
      <c r="AR1" s="18"/>
      <c r="AS1" s="18"/>
      <c r="AT1" s="18"/>
      <c r="AU1" s="18"/>
      <c r="AV1" s="18"/>
      <c r="AW1" s="19"/>
      <c r="AX1" s="18"/>
      <c r="AY1" s="18"/>
      <c r="AZ1" s="18"/>
      <c r="BA1" s="18"/>
      <c r="BB1" s="18"/>
      <c r="BC1" s="19"/>
      <c r="BD1" s="19"/>
    </row>
    <row r="2" spans="1:56" s="14" customFormat="1" x14ac:dyDescent="0.25">
      <c r="A2" s="17"/>
      <c r="B2" s="18"/>
      <c r="C2" s="18"/>
      <c r="D2" s="18"/>
      <c r="E2" s="18"/>
      <c r="F2" s="18"/>
      <c r="G2" s="19"/>
      <c r="H2" s="18"/>
      <c r="I2" s="18"/>
      <c r="J2" s="18"/>
      <c r="K2" s="18"/>
      <c r="L2" s="19"/>
      <c r="M2" s="19"/>
      <c r="N2" s="18"/>
      <c r="O2" s="18"/>
      <c r="P2" s="18"/>
      <c r="Q2" s="18"/>
      <c r="R2" s="18"/>
      <c r="S2" s="19"/>
      <c r="T2" s="18"/>
      <c r="U2" s="18"/>
      <c r="V2" s="18"/>
      <c r="W2" s="18"/>
      <c r="X2" s="18"/>
      <c r="Y2" s="19"/>
      <c r="Z2" s="18"/>
      <c r="AA2" s="18"/>
      <c r="AB2" s="18"/>
      <c r="AC2" s="18"/>
      <c r="AD2" s="18"/>
      <c r="AE2" s="19"/>
      <c r="AF2" s="18"/>
      <c r="AG2" s="18"/>
      <c r="AH2" s="18"/>
      <c r="AI2" s="18"/>
      <c r="AJ2" s="18"/>
      <c r="AK2" s="19"/>
      <c r="AL2" s="18"/>
      <c r="AM2" s="18"/>
      <c r="AN2" s="18"/>
      <c r="AO2" s="18"/>
      <c r="AP2" s="18"/>
      <c r="AQ2" s="19"/>
      <c r="AR2" s="18"/>
      <c r="AS2" s="18"/>
      <c r="AT2" s="18"/>
      <c r="AU2" s="18"/>
      <c r="AV2" s="18"/>
      <c r="AW2" s="19"/>
      <c r="AX2" s="18"/>
      <c r="AY2" s="18"/>
      <c r="AZ2" s="18"/>
      <c r="BA2" s="18"/>
      <c r="BB2" s="18"/>
      <c r="BC2" s="19"/>
      <c r="BD2" s="19"/>
    </row>
    <row r="3" spans="1:56" s="14" customFormat="1" x14ac:dyDescent="0.25">
      <c r="A3" s="17"/>
      <c r="B3" s="18"/>
      <c r="C3" s="18"/>
      <c r="D3" s="18"/>
      <c r="E3" s="18"/>
      <c r="F3" s="18"/>
      <c r="G3" s="19"/>
      <c r="H3" s="18"/>
      <c r="I3" s="18"/>
      <c r="J3" s="18"/>
      <c r="K3" s="18"/>
      <c r="L3" s="19"/>
      <c r="M3" s="19"/>
      <c r="N3" s="18"/>
      <c r="O3" s="18"/>
      <c r="P3" s="18"/>
      <c r="Q3" s="18"/>
      <c r="R3" s="18"/>
      <c r="S3" s="19"/>
      <c r="T3" s="18"/>
      <c r="U3" s="18"/>
      <c r="V3" s="18"/>
      <c r="W3" s="18"/>
      <c r="X3" s="18"/>
      <c r="Y3" s="19"/>
      <c r="Z3" s="18"/>
      <c r="AA3" s="18"/>
      <c r="AB3" s="18"/>
      <c r="AC3" s="18"/>
      <c r="AD3" s="18"/>
      <c r="AE3" s="19"/>
      <c r="AF3" s="18"/>
      <c r="AG3" s="18"/>
      <c r="AH3" s="18"/>
      <c r="AI3" s="18"/>
      <c r="AJ3" s="18"/>
      <c r="AK3" s="19"/>
      <c r="AL3" s="18"/>
      <c r="AM3" s="18"/>
      <c r="AN3" s="18"/>
      <c r="AO3" s="18"/>
      <c r="AP3" s="18"/>
      <c r="AQ3" s="19"/>
      <c r="AR3" s="18"/>
      <c r="AS3" s="18"/>
      <c r="AT3" s="18"/>
      <c r="AU3" s="18"/>
      <c r="AV3" s="18"/>
      <c r="AW3" s="19"/>
      <c r="AX3" s="18"/>
      <c r="AY3" s="18"/>
      <c r="AZ3" s="18"/>
      <c r="BA3" s="18"/>
      <c r="BB3" s="18"/>
      <c r="BC3" s="19"/>
      <c r="BD3" s="19"/>
    </row>
    <row r="4" spans="1:56" s="14" customFormat="1" x14ac:dyDescent="0.25">
      <c r="A4" s="112" t="s">
        <v>101</v>
      </c>
      <c r="B4" s="112"/>
      <c r="C4" s="112"/>
      <c r="D4" s="112"/>
      <c r="E4" s="112"/>
      <c r="F4" s="112"/>
      <c r="G4" s="112"/>
      <c r="H4" s="18"/>
      <c r="I4" s="18"/>
      <c r="J4" s="18"/>
      <c r="K4" s="18"/>
      <c r="L4" s="19"/>
      <c r="M4" s="19"/>
      <c r="N4" s="18"/>
      <c r="O4" s="18"/>
      <c r="P4" s="18"/>
      <c r="Q4" s="18"/>
      <c r="R4" s="18"/>
      <c r="S4" s="19"/>
      <c r="T4" s="18"/>
      <c r="U4" s="18"/>
      <c r="V4" s="18"/>
      <c r="W4" s="18"/>
      <c r="X4" s="18"/>
      <c r="Y4" s="19"/>
      <c r="Z4" s="18"/>
      <c r="AA4" s="18"/>
      <c r="AB4" s="18"/>
      <c r="AC4" s="18"/>
      <c r="AD4" s="18"/>
      <c r="AE4" s="19"/>
      <c r="AF4" s="18"/>
      <c r="AG4" s="18"/>
      <c r="AH4" s="18"/>
      <c r="AI4" s="18"/>
      <c r="AJ4" s="18"/>
      <c r="AK4" s="19"/>
      <c r="AL4" s="18"/>
      <c r="AM4" s="18"/>
      <c r="AN4" s="18"/>
      <c r="AO4" s="18"/>
      <c r="AP4" s="18"/>
      <c r="AQ4" s="19"/>
      <c r="AR4" s="18"/>
      <c r="AS4" s="18"/>
      <c r="AT4" s="18"/>
      <c r="AU4" s="18"/>
      <c r="AV4" s="18"/>
      <c r="AW4" s="19"/>
      <c r="AX4" s="18"/>
      <c r="AY4" s="18"/>
      <c r="AZ4" s="18"/>
      <c r="BA4" s="18"/>
      <c r="BB4" s="18"/>
      <c r="BC4" s="19"/>
      <c r="BD4" s="19"/>
    </row>
    <row r="5" spans="1:56" s="14" customFormat="1" x14ac:dyDescent="0.25">
      <c r="A5" s="54" t="s">
        <v>102</v>
      </c>
      <c r="B5" s="15" t="s">
        <v>103</v>
      </c>
      <c r="C5" s="15" t="s">
        <v>104</v>
      </c>
      <c r="D5" s="15" t="s">
        <v>105</v>
      </c>
      <c r="E5" s="15" t="s">
        <v>114</v>
      </c>
      <c r="F5" s="15" t="s">
        <v>115</v>
      </c>
      <c r="G5" s="16" t="s">
        <v>116</v>
      </c>
      <c r="H5" s="18"/>
      <c r="I5" s="18"/>
      <c r="J5" s="18"/>
      <c r="K5" s="18"/>
      <c r="L5" s="19"/>
      <c r="M5" s="19"/>
      <c r="N5" s="18"/>
      <c r="O5" s="18"/>
      <c r="P5" s="18"/>
      <c r="Q5" s="18"/>
      <c r="R5" s="18"/>
      <c r="S5" s="19"/>
      <c r="T5" s="18"/>
      <c r="U5" s="18"/>
      <c r="V5" s="18"/>
      <c r="W5" s="18"/>
      <c r="X5" s="18"/>
      <c r="Y5" s="19"/>
      <c r="Z5" s="18"/>
      <c r="AA5" s="18"/>
      <c r="AB5" s="18"/>
      <c r="AC5" s="18"/>
      <c r="AD5" s="18"/>
      <c r="AE5" s="19"/>
      <c r="AF5" s="18"/>
      <c r="AG5" s="18"/>
      <c r="AH5" s="18"/>
      <c r="AI5" s="18"/>
      <c r="AJ5" s="18"/>
      <c r="AK5" s="19"/>
      <c r="AL5" s="18"/>
      <c r="AM5" s="18"/>
      <c r="AN5" s="18"/>
      <c r="AO5" s="18"/>
      <c r="AP5" s="18"/>
      <c r="AQ5" s="19"/>
      <c r="AR5" s="18"/>
      <c r="AS5" s="18"/>
      <c r="AT5" s="18"/>
      <c r="AU5" s="18"/>
      <c r="AV5" s="18"/>
      <c r="AW5" s="19"/>
      <c r="AX5" s="18"/>
      <c r="AY5" s="18"/>
      <c r="AZ5" s="18"/>
      <c r="BA5" s="18"/>
      <c r="BB5" s="18"/>
      <c r="BC5" s="19"/>
      <c r="BD5" s="19"/>
    </row>
    <row r="6" spans="1:56" s="14" customFormat="1" x14ac:dyDescent="0.25">
      <c r="A6" s="52">
        <v>1</v>
      </c>
      <c r="B6" s="31">
        <v>0.35</v>
      </c>
      <c r="C6" s="31">
        <v>0.6</v>
      </c>
      <c r="D6" s="31" t="s">
        <v>106</v>
      </c>
      <c r="E6" s="31">
        <v>1.2</v>
      </c>
      <c r="F6" s="31">
        <v>1.7</v>
      </c>
      <c r="G6" s="106">
        <v>1.2</v>
      </c>
      <c r="H6" s="18"/>
      <c r="I6" s="18"/>
      <c r="J6" s="18"/>
      <c r="K6" s="18"/>
      <c r="L6" s="19"/>
      <c r="M6" s="19"/>
      <c r="N6" s="18"/>
      <c r="O6" s="18"/>
      <c r="P6" s="18"/>
      <c r="Q6" s="18"/>
      <c r="R6" s="18"/>
      <c r="S6" s="19"/>
      <c r="T6" s="18"/>
      <c r="U6" s="18"/>
      <c r="V6" s="18"/>
      <c r="W6" s="18"/>
      <c r="X6" s="18"/>
      <c r="Y6" s="19"/>
      <c r="Z6" s="18"/>
      <c r="AA6" s="18"/>
      <c r="AB6" s="18"/>
      <c r="AC6" s="18"/>
      <c r="AD6" s="18"/>
      <c r="AE6" s="19"/>
      <c r="AF6" s="18"/>
      <c r="AG6" s="18"/>
      <c r="AH6" s="18"/>
      <c r="AI6" s="18"/>
      <c r="AJ6" s="18"/>
      <c r="AK6" s="19"/>
      <c r="AL6" s="18"/>
      <c r="AM6" s="18"/>
      <c r="AN6" s="18"/>
      <c r="AO6" s="18"/>
      <c r="AP6" s="18"/>
      <c r="AQ6" s="19"/>
      <c r="AR6" s="18"/>
      <c r="AS6" s="18"/>
      <c r="AT6" s="18"/>
      <c r="AU6" s="18"/>
      <c r="AV6" s="18"/>
      <c r="AW6" s="19"/>
      <c r="AX6" s="18"/>
      <c r="AY6" s="18"/>
      <c r="AZ6" s="18"/>
      <c r="BA6" s="18"/>
      <c r="BB6" s="18"/>
      <c r="BC6" s="19"/>
      <c r="BD6" s="19"/>
    </row>
    <row r="7" spans="1:56" s="14" customFormat="1" x14ac:dyDescent="0.25">
      <c r="A7" s="52">
        <v>1.5</v>
      </c>
      <c r="B7" s="31">
        <v>0.35</v>
      </c>
      <c r="C7" s="31">
        <v>0.9</v>
      </c>
      <c r="D7" s="31" t="s">
        <v>107</v>
      </c>
      <c r="E7" s="31">
        <v>1.65</v>
      </c>
      <c r="F7" s="31">
        <v>2.1</v>
      </c>
      <c r="G7" s="106">
        <v>1.4</v>
      </c>
      <c r="H7" s="18"/>
      <c r="I7" s="18"/>
      <c r="J7" s="18"/>
      <c r="K7" s="18"/>
      <c r="L7" s="19"/>
      <c r="M7" s="19"/>
      <c r="N7" s="18"/>
      <c r="O7" s="18"/>
      <c r="P7" s="18"/>
      <c r="Q7" s="18"/>
      <c r="R7" s="18"/>
      <c r="S7" s="19"/>
      <c r="T7" s="18"/>
      <c r="U7" s="18"/>
      <c r="V7" s="18"/>
      <c r="W7" s="18"/>
      <c r="X7" s="18"/>
      <c r="Y7" s="19"/>
      <c r="Z7" s="18"/>
      <c r="AA7" s="18"/>
      <c r="AB7" s="18"/>
      <c r="AC7" s="18"/>
      <c r="AD7" s="18"/>
      <c r="AE7" s="19"/>
      <c r="AF7" s="18"/>
      <c r="AG7" s="18"/>
      <c r="AH7" s="18"/>
      <c r="AI7" s="18"/>
      <c r="AJ7" s="18"/>
      <c r="AK7" s="19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9"/>
      <c r="AX7" s="18"/>
      <c r="AY7" s="18"/>
      <c r="AZ7" s="18"/>
      <c r="BA7" s="18"/>
      <c r="BB7" s="18"/>
      <c r="BC7" s="19"/>
      <c r="BD7" s="19"/>
    </row>
    <row r="8" spans="1:56" s="14" customFormat="1" x14ac:dyDescent="0.25">
      <c r="A8" s="52">
        <v>2</v>
      </c>
      <c r="B8" s="31">
        <v>0.35</v>
      </c>
      <c r="C8" s="31">
        <v>1.1000000000000001</v>
      </c>
      <c r="D8" s="31" t="s">
        <v>108</v>
      </c>
      <c r="E8" s="31">
        <v>1.95</v>
      </c>
      <c r="F8" s="31">
        <v>2.5</v>
      </c>
      <c r="G8" s="106">
        <v>1.6</v>
      </c>
      <c r="H8" s="18"/>
      <c r="I8" s="18"/>
      <c r="J8" s="18"/>
      <c r="K8" s="18"/>
      <c r="L8" s="19"/>
      <c r="M8" s="19"/>
      <c r="N8" s="18"/>
      <c r="O8" s="18"/>
      <c r="P8" s="18"/>
      <c r="Q8" s="18"/>
      <c r="R8" s="18"/>
      <c r="S8" s="19"/>
      <c r="T8" s="18"/>
      <c r="U8" s="18"/>
      <c r="V8" s="18"/>
      <c r="W8" s="18"/>
      <c r="X8" s="18"/>
      <c r="Y8" s="19"/>
      <c r="Z8" s="18"/>
      <c r="AA8" s="18"/>
      <c r="AB8" s="18"/>
      <c r="AC8" s="18"/>
      <c r="AD8" s="18"/>
      <c r="AE8" s="19"/>
      <c r="AF8" s="18"/>
      <c r="AG8" s="18"/>
      <c r="AH8" s="18"/>
      <c r="AI8" s="18"/>
      <c r="AJ8" s="18"/>
      <c r="AK8" s="19"/>
      <c r="AL8" s="18"/>
      <c r="AM8" s="18"/>
      <c r="AN8" s="18"/>
      <c r="AO8" s="18"/>
      <c r="AP8" s="18"/>
      <c r="AQ8" s="19"/>
      <c r="AR8" s="18"/>
      <c r="AS8" s="18"/>
      <c r="AT8" s="18"/>
      <c r="AU8" s="18"/>
      <c r="AV8" s="18"/>
      <c r="AW8" s="19"/>
      <c r="AX8" s="18"/>
      <c r="AY8" s="18"/>
      <c r="AZ8" s="18"/>
      <c r="BA8" s="18"/>
      <c r="BB8" s="18"/>
      <c r="BC8" s="19"/>
      <c r="BD8" s="19"/>
    </row>
    <row r="9" spans="1:56" s="14" customFormat="1" x14ac:dyDescent="0.25">
      <c r="A9" s="52">
        <v>2.5</v>
      </c>
      <c r="B9" s="31">
        <v>0.35</v>
      </c>
      <c r="C9" s="31">
        <v>1.4</v>
      </c>
      <c r="D9" s="31" t="s">
        <v>109</v>
      </c>
      <c r="E9" s="31">
        <v>2.4</v>
      </c>
      <c r="F9" s="31">
        <v>2.9</v>
      </c>
      <c r="G9" s="106">
        <v>1.8</v>
      </c>
      <c r="H9" s="18"/>
      <c r="I9" s="18"/>
      <c r="J9" s="18"/>
      <c r="K9" s="18"/>
      <c r="L9" s="19"/>
      <c r="M9" s="19"/>
      <c r="N9" s="18"/>
      <c r="O9" s="18"/>
      <c r="P9" s="18"/>
      <c r="Q9" s="18"/>
      <c r="R9" s="18"/>
      <c r="S9" s="19"/>
      <c r="T9" s="18"/>
      <c r="U9" s="18"/>
      <c r="V9" s="18"/>
      <c r="W9" s="18"/>
      <c r="X9" s="18"/>
      <c r="Y9" s="19"/>
      <c r="Z9" s="18"/>
      <c r="AA9" s="18"/>
      <c r="AB9" s="18"/>
      <c r="AC9" s="18"/>
      <c r="AD9" s="18"/>
      <c r="AE9" s="19"/>
      <c r="AF9" s="18"/>
      <c r="AG9" s="18"/>
      <c r="AH9" s="18"/>
      <c r="AI9" s="18"/>
      <c r="AJ9" s="18"/>
      <c r="AK9" s="19"/>
      <c r="AL9" s="18"/>
      <c r="AM9" s="18"/>
      <c r="AN9" s="18"/>
      <c r="AO9" s="18"/>
      <c r="AP9" s="18"/>
      <c r="AQ9" s="19"/>
      <c r="AR9" s="18"/>
      <c r="AS9" s="18"/>
      <c r="AT9" s="18"/>
      <c r="AU9" s="18"/>
      <c r="AV9" s="18"/>
      <c r="AW9" s="19"/>
      <c r="AX9" s="18"/>
      <c r="AY9" s="18"/>
      <c r="AZ9" s="18"/>
      <c r="BA9" s="18"/>
      <c r="BB9" s="18"/>
      <c r="BC9" s="19"/>
      <c r="BD9" s="19"/>
    </row>
    <row r="10" spans="1:56" s="14" customFormat="1" x14ac:dyDescent="0.25">
      <c r="A10" s="52">
        <v>3</v>
      </c>
      <c r="B10" s="31">
        <v>0.35</v>
      </c>
      <c r="C10" s="31">
        <v>1.6</v>
      </c>
      <c r="D10" s="31" t="s">
        <v>110</v>
      </c>
      <c r="E10" s="31">
        <v>2.7</v>
      </c>
      <c r="F10" s="31">
        <v>3.3</v>
      </c>
      <c r="G10" s="106">
        <v>2</v>
      </c>
      <c r="H10" s="18"/>
      <c r="I10" s="18"/>
      <c r="J10" s="18"/>
      <c r="K10" s="18"/>
      <c r="L10" s="19"/>
      <c r="M10" s="19"/>
      <c r="N10" s="18"/>
      <c r="O10" s="18"/>
      <c r="P10" s="18"/>
      <c r="Q10" s="18"/>
      <c r="R10" s="18"/>
      <c r="S10" s="19"/>
      <c r="T10" s="18"/>
      <c r="U10" s="18"/>
      <c r="V10" s="18"/>
      <c r="W10" s="18"/>
      <c r="X10" s="18"/>
      <c r="Y10" s="19"/>
      <c r="Z10" s="18"/>
      <c r="AA10" s="18"/>
      <c r="AB10" s="18"/>
      <c r="AC10" s="18"/>
      <c r="AD10" s="18"/>
      <c r="AE10" s="19"/>
      <c r="AF10" s="18"/>
      <c r="AG10" s="18"/>
      <c r="AH10" s="18"/>
      <c r="AI10" s="18"/>
      <c r="AJ10" s="18"/>
      <c r="AK10" s="19"/>
      <c r="AL10" s="18"/>
      <c r="AM10" s="18"/>
      <c r="AN10" s="18"/>
      <c r="AO10" s="18"/>
      <c r="AP10" s="18"/>
      <c r="AQ10" s="19"/>
      <c r="AR10" s="18"/>
      <c r="AS10" s="18"/>
      <c r="AT10" s="18"/>
      <c r="AU10" s="18"/>
      <c r="AV10" s="18"/>
      <c r="AW10" s="19"/>
      <c r="AX10" s="18"/>
      <c r="AY10" s="18"/>
      <c r="AZ10" s="18"/>
      <c r="BA10" s="18"/>
      <c r="BB10" s="18"/>
      <c r="BC10" s="19"/>
      <c r="BD10" s="19"/>
    </row>
    <row r="11" spans="1:56" s="14" customFormat="1" x14ac:dyDescent="0.25">
      <c r="A11" s="52">
        <v>3.5</v>
      </c>
      <c r="B11" s="31">
        <v>0.35</v>
      </c>
      <c r="C11" s="105">
        <v>1.9</v>
      </c>
      <c r="D11" s="31" t="s">
        <v>111</v>
      </c>
      <c r="E11" s="31">
        <v>3.15</v>
      </c>
      <c r="F11" s="31">
        <v>3.7</v>
      </c>
      <c r="G11" s="106">
        <v>2.2000000000000002</v>
      </c>
      <c r="H11" s="18"/>
      <c r="I11" s="18"/>
      <c r="J11" s="18"/>
      <c r="K11" s="18"/>
      <c r="L11" s="19"/>
      <c r="M11" s="19"/>
      <c r="N11" s="18"/>
      <c r="O11" s="18"/>
      <c r="P11" s="18"/>
      <c r="Q11" s="18"/>
      <c r="R11" s="18"/>
      <c r="S11" s="19"/>
      <c r="T11" s="18"/>
      <c r="U11" s="18"/>
      <c r="V11" s="18"/>
      <c r="W11" s="18"/>
      <c r="X11" s="18"/>
      <c r="Y11" s="19"/>
      <c r="Z11" s="18"/>
      <c r="AA11" s="18"/>
      <c r="AB11" s="18"/>
      <c r="AC11" s="18"/>
      <c r="AD11" s="18"/>
      <c r="AE11" s="19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9"/>
      <c r="AR11" s="18"/>
      <c r="AS11" s="18"/>
      <c r="AT11" s="18"/>
      <c r="AU11" s="18"/>
      <c r="AV11" s="18"/>
      <c r="AW11" s="19"/>
      <c r="AX11" s="18"/>
      <c r="AY11" s="18"/>
      <c r="AZ11" s="18"/>
      <c r="BA11" s="18"/>
      <c r="BB11" s="18"/>
      <c r="BC11" s="19"/>
      <c r="BD11" s="19"/>
    </row>
    <row r="12" spans="1:56" s="14" customFormat="1" x14ac:dyDescent="0.25">
      <c r="A12" s="52">
        <v>4</v>
      </c>
      <c r="B12" s="31">
        <v>0.35</v>
      </c>
      <c r="C12" s="31">
        <v>2.1</v>
      </c>
      <c r="D12" s="31" t="s">
        <v>112</v>
      </c>
      <c r="E12" s="31">
        <v>3.45</v>
      </c>
      <c r="F12" s="31">
        <v>4.0999999999999996</v>
      </c>
      <c r="G12" s="106">
        <v>2.4</v>
      </c>
      <c r="H12" s="18"/>
      <c r="I12" s="18"/>
      <c r="J12" s="18"/>
      <c r="K12" s="18"/>
      <c r="L12" s="19"/>
      <c r="M12" s="19"/>
      <c r="N12" s="18"/>
      <c r="O12" s="18"/>
      <c r="P12" s="18"/>
      <c r="Q12" s="18"/>
      <c r="R12" s="18"/>
      <c r="S12" s="19"/>
      <c r="T12" s="18"/>
      <c r="U12" s="18"/>
      <c r="V12" s="18"/>
      <c r="W12" s="18"/>
      <c r="X12" s="18"/>
      <c r="Y12" s="19"/>
      <c r="Z12" s="18"/>
      <c r="AA12" s="18"/>
      <c r="AB12" s="18"/>
      <c r="AC12" s="18"/>
      <c r="AD12" s="18"/>
      <c r="AE12" s="19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9"/>
      <c r="AR12" s="18"/>
      <c r="AS12" s="18"/>
      <c r="AT12" s="18"/>
      <c r="AU12" s="18"/>
      <c r="AV12" s="18"/>
      <c r="AW12" s="19"/>
      <c r="AX12" s="18"/>
      <c r="AY12" s="18"/>
      <c r="AZ12" s="18"/>
      <c r="BA12" s="18"/>
      <c r="BB12" s="18"/>
      <c r="BC12" s="19"/>
      <c r="BD12" s="19"/>
    </row>
    <row r="13" spans="1:56" s="14" customFormat="1" x14ac:dyDescent="0.25">
      <c r="A13" s="53">
        <v>4.5</v>
      </c>
      <c r="B13" s="32">
        <v>0.35</v>
      </c>
      <c r="C13" s="32">
        <v>2.4</v>
      </c>
      <c r="D13" s="32" t="s">
        <v>113</v>
      </c>
      <c r="E13" s="32">
        <v>3.9</v>
      </c>
      <c r="F13" s="32">
        <v>4.5</v>
      </c>
      <c r="G13" s="107">
        <v>2.6</v>
      </c>
      <c r="H13" s="18"/>
      <c r="I13" s="18"/>
      <c r="J13" s="18"/>
      <c r="K13" s="18"/>
      <c r="L13" s="19"/>
      <c r="M13" s="19"/>
      <c r="N13" s="18"/>
      <c r="O13" s="18"/>
      <c r="P13" s="18"/>
      <c r="Q13" s="18"/>
      <c r="R13" s="18"/>
      <c r="S13" s="19"/>
      <c r="T13" s="18"/>
      <c r="U13" s="18"/>
      <c r="V13" s="18"/>
      <c r="W13" s="18"/>
      <c r="X13" s="18"/>
      <c r="Y13" s="19"/>
      <c r="Z13" s="18"/>
      <c r="AA13" s="18"/>
      <c r="AB13" s="18"/>
      <c r="AC13" s="18"/>
      <c r="AD13" s="18"/>
      <c r="AE13" s="19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9"/>
      <c r="AR13" s="18"/>
      <c r="AS13" s="18"/>
      <c r="AT13" s="18"/>
      <c r="AU13" s="18"/>
      <c r="AV13" s="18"/>
      <c r="AW13" s="19"/>
      <c r="AX13" s="18"/>
      <c r="AY13" s="18"/>
      <c r="AZ13" s="18"/>
      <c r="BA13" s="18"/>
      <c r="BB13" s="18"/>
      <c r="BC13" s="19"/>
      <c r="BD13" s="19"/>
    </row>
    <row r="14" spans="1:56" s="14" customFormat="1" x14ac:dyDescent="0.25">
      <c r="A14" s="17"/>
      <c r="B14" s="18"/>
      <c r="C14" s="18"/>
      <c r="D14" s="18"/>
      <c r="E14" s="18"/>
      <c r="F14" s="18"/>
      <c r="G14" s="19"/>
      <c r="H14" s="18"/>
      <c r="I14" s="18"/>
      <c r="J14" s="18"/>
      <c r="K14" s="18"/>
      <c r="L14" s="19"/>
      <c r="M14" s="19"/>
      <c r="N14" s="18"/>
      <c r="O14" s="18"/>
      <c r="P14" s="18"/>
      <c r="Q14" s="18"/>
      <c r="R14" s="18"/>
      <c r="S14" s="19"/>
      <c r="T14" s="18"/>
      <c r="U14" s="18"/>
      <c r="V14" s="18"/>
      <c r="W14" s="18"/>
      <c r="X14" s="18"/>
      <c r="Y14" s="19"/>
      <c r="Z14" s="18"/>
      <c r="AA14" s="18"/>
      <c r="AB14" s="18"/>
      <c r="AC14" s="18"/>
      <c r="AD14" s="18"/>
      <c r="AE14" s="19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9"/>
      <c r="AX14" s="18"/>
      <c r="AY14" s="18"/>
      <c r="AZ14" s="18"/>
      <c r="BA14" s="18"/>
      <c r="BB14" s="18"/>
      <c r="BC14" s="19"/>
      <c r="BD14" s="19"/>
    </row>
    <row r="15" spans="1:56" s="14" customFormat="1" x14ac:dyDescent="0.25">
      <c r="A15" s="17"/>
      <c r="B15" s="18"/>
      <c r="C15" s="18"/>
      <c r="D15" s="18"/>
      <c r="E15" s="18"/>
      <c r="F15" s="18"/>
      <c r="G15" s="19"/>
      <c r="H15" s="18"/>
      <c r="I15" s="18"/>
      <c r="J15" s="18"/>
      <c r="K15" s="18"/>
      <c r="L15" s="19"/>
      <c r="M15" s="19"/>
      <c r="N15" s="18"/>
      <c r="O15" s="18"/>
      <c r="P15" s="18"/>
      <c r="Q15" s="18"/>
      <c r="R15" s="18"/>
      <c r="S15" s="19"/>
      <c r="T15" s="18"/>
      <c r="U15" s="18"/>
      <c r="V15" s="18"/>
      <c r="W15" s="18"/>
      <c r="X15" s="18"/>
      <c r="Y15" s="19"/>
      <c r="Z15" s="18"/>
      <c r="AA15" s="18"/>
      <c r="AB15" s="18"/>
      <c r="AC15" s="18"/>
      <c r="AD15" s="18"/>
      <c r="AE15" s="19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9"/>
      <c r="AR15" s="18"/>
      <c r="AS15" s="18"/>
      <c r="AT15" s="18"/>
      <c r="AU15" s="18"/>
      <c r="AV15" s="18"/>
      <c r="AW15" s="19"/>
      <c r="AX15" s="18"/>
      <c r="AY15" s="18"/>
      <c r="AZ15" s="18"/>
      <c r="BA15" s="18"/>
      <c r="BB15" s="18"/>
      <c r="BC15" s="19"/>
      <c r="BD15" s="19"/>
    </row>
    <row r="16" spans="1:56" s="14" customFormat="1" x14ac:dyDescent="0.25">
      <c r="A16" s="17"/>
      <c r="B16" s="18"/>
      <c r="C16" s="18"/>
      <c r="D16" s="18"/>
      <c r="E16" s="18"/>
      <c r="F16" s="18"/>
      <c r="G16" s="19"/>
      <c r="H16" s="18"/>
      <c r="I16" s="18"/>
      <c r="J16" s="18"/>
      <c r="K16" s="18"/>
      <c r="L16" s="19"/>
      <c r="M16" s="19"/>
      <c r="N16" s="18"/>
      <c r="O16" s="18"/>
      <c r="P16" s="18"/>
      <c r="Q16" s="18"/>
      <c r="R16" s="18"/>
      <c r="S16" s="19"/>
      <c r="T16" s="18"/>
      <c r="U16" s="18"/>
      <c r="V16" s="18"/>
      <c r="W16" s="18"/>
      <c r="X16" s="18"/>
      <c r="Y16" s="19"/>
      <c r="Z16" s="18"/>
      <c r="AA16" s="18"/>
      <c r="AB16" s="18"/>
      <c r="AC16" s="18"/>
      <c r="AD16" s="18"/>
      <c r="AE16" s="19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9"/>
      <c r="AR16" s="18"/>
      <c r="AS16" s="18"/>
      <c r="AT16" s="18"/>
      <c r="AU16" s="18"/>
      <c r="AV16" s="18"/>
      <c r="AW16" s="19"/>
      <c r="AX16" s="18"/>
      <c r="AY16" s="18"/>
      <c r="AZ16" s="18"/>
      <c r="BA16" s="18"/>
      <c r="BB16" s="18"/>
      <c r="BC16" s="19"/>
      <c r="BD16" s="19"/>
    </row>
    <row r="17" spans="1:56" s="14" customFormat="1" x14ac:dyDescent="0.25">
      <c r="A17" s="17"/>
      <c r="B17" s="18"/>
      <c r="C17" s="18"/>
      <c r="D17" s="18"/>
      <c r="E17" s="18"/>
      <c r="F17" s="18"/>
      <c r="G17" s="19"/>
      <c r="H17" s="18"/>
      <c r="I17" s="18"/>
      <c r="J17" s="18"/>
      <c r="K17" s="18"/>
      <c r="L17" s="19"/>
      <c r="M17" s="19"/>
      <c r="N17" s="18"/>
      <c r="O17" s="18"/>
      <c r="P17" s="18"/>
      <c r="Q17" s="18"/>
      <c r="R17" s="18"/>
      <c r="S17" s="19"/>
      <c r="T17" s="18"/>
      <c r="U17" s="18"/>
      <c r="V17" s="18"/>
      <c r="W17" s="18"/>
      <c r="X17" s="18"/>
      <c r="Y17" s="19"/>
      <c r="Z17" s="18"/>
      <c r="AA17" s="18"/>
      <c r="AB17" s="18"/>
      <c r="AC17" s="18"/>
      <c r="AD17" s="18"/>
      <c r="AE17" s="19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9"/>
      <c r="AR17" s="18"/>
      <c r="AS17" s="18"/>
      <c r="AT17" s="18"/>
      <c r="AU17" s="18"/>
      <c r="AV17" s="18"/>
      <c r="AW17" s="19"/>
      <c r="AX17" s="18"/>
      <c r="AY17" s="18"/>
      <c r="AZ17" s="18"/>
      <c r="BA17" s="18"/>
      <c r="BB17" s="18"/>
      <c r="BC17" s="19"/>
      <c r="BD17" s="19"/>
    </row>
    <row r="18" spans="1:56" s="14" customFormat="1" x14ac:dyDescent="0.25">
      <c r="A18" s="17"/>
      <c r="B18" s="18"/>
      <c r="C18" s="18"/>
      <c r="D18" s="18"/>
      <c r="E18" s="18"/>
      <c r="F18" s="18"/>
      <c r="G18" s="19"/>
      <c r="H18" s="18"/>
      <c r="I18" s="18"/>
      <c r="J18" s="18"/>
      <c r="K18" s="18"/>
      <c r="L18" s="19"/>
      <c r="M18" s="19"/>
      <c r="N18" s="18"/>
      <c r="O18" s="18"/>
      <c r="P18" s="18"/>
      <c r="Q18" s="18"/>
      <c r="R18" s="18"/>
      <c r="S18" s="19"/>
      <c r="T18" s="18"/>
      <c r="U18" s="18"/>
      <c r="V18" s="18"/>
      <c r="W18" s="18"/>
      <c r="X18" s="18"/>
      <c r="Y18" s="19"/>
      <c r="Z18" s="18"/>
      <c r="AA18" s="18"/>
      <c r="AB18" s="18"/>
      <c r="AC18" s="18"/>
      <c r="AD18" s="18"/>
      <c r="AE18" s="19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9"/>
      <c r="AR18" s="18"/>
      <c r="AS18" s="18"/>
      <c r="AT18" s="18"/>
      <c r="AU18" s="18"/>
      <c r="AV18" s="18"/>
      <c r="AW18" s="19"/>
      <c r="AX18" s="18"/>
      <c r="AY18" s="18"/>
      <c r="AZ18" s="18"/>
      <c r="BA18" s="18"/>
      <c r="BB18" s="18"/>
      <c r="BC18" s="19"/>
      <c r="BD18" s="19"/>
    </row>
    <row r="19" spans="1:56" s="14" customFormat="1" x14ac:dyDescent="0.25">
      <c r="A19" s="17"/>
      <c r="B19" s="18"/>
      <c r="C19" s="18"/>
      <c r="D19" s="18"/>
      <c r="E19" s="18"/>
      <c r="F19" s="18"/>
      <c r="G19" s="19"/>
      <c r="H19" s="18"/>
      <c r="I19" s="18"/>
      <c r="J19" s="18"/>
      <c r="K19" s="18"/>
      <c r="L19" s="19"/>
      <c r="M19" s="19"/>
      <c r="N19" s="18"/>
      <c r="O19" s="18"/>
      <c r="P19" s="18"/>
      <c r="Q19" s="18"/>
      <c r="R19" s="18"/>
      <c r="S19" s="19"/>
      <c r="T19" s="18"/>
      <c r="U19" s="18"/>
      <c r="V19" s="18"/>
      <c r="W19" s="18"/>
      <c r="X19" s="18"/>
      <c r="Y19" s="19"/>
      <c r="Z19" s="18"/>
      <c r="AA19" s="18"/>
      <c r="AB19" s="18"/>
      <c r="AC19" s="18"/>
      <c r="AD19" s="18"/>
      <c r="AE19" s="19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9"/>
      <c r="AR19" s="18"/>
      <c r="AS19" s="18"/>
      <c r="AT19" s="18"/>
      <c r="AU19" s="18"/>
      <c r="AV19" s="18"/>
      <c r="AW19" s="19"/>
      <c r="AX19" s="18"/>
      <c r="AY19" s="18"/>
      <c r="AZ19" s="18"/>
      <c r="BA19" s="18"/>
      <c r="BB19" s="18"/>
      <c r="BC19" s="19"/>
      <c r="BD19" s="19"/>
    </row>
  </sheetData>
  <mergeCells count="1">
    <mergeCell ref="A4:G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D19"/>
  <sheetViews>
    <sheetView zoomScale="85" zoomScaleNormal="85" workbookViewId="0"/>
  </sheetViews>
  <sheetFormatPr defaultRowHeight="15" x14ac:dyDescent="0.25"/>
  <sheetData>
    <row r="1" spans="1:56" s="14" customFormat="1" ht="20.25" x14ac:dyDescent="0.3">
      <c r="A1" s="20" t="s">
        <v>99</v>
      </c>
      <c r="B1" s="15"/>
      <c r="C1" s="18"/>
      <c r="D1" s="18"/>
      <c r="E1" s="18"/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8"/>
      <c r="S1" s="19"/>
      <c r="T1" s="18"/>
      <c r="U1" s="18"/>
      <c r="V1" s="18"/>
      <c r="W1" s="18"/>
      <c r="X1" s="18"/>
      <c r="Y1" s="19"/>
      <c r="Z1" s="18"/>
      <c r="AA1" s="18"/>
      <c r="AB1" s="18"/>
      <c r="AC1" s="18"/>
      <c r="AD1" s="18"/>
      <c r="AE1" s="19"/>
      <c r="AF1" s="18"/>
      <c r="AG1" s="18"/>
      <c r="AH1" s="18"/>
      <c r="AI1" s="18"/>
      <c r="AJ1" s="18"/>
      <c r="AK1" s="19"/>
      <c r="AL1" s="18"/>
      <c r="AM1" s="18"/>
      <c r="AN1" s="18"/>
      <c r="AO1" s="18"/>
      <c r="AP1" s="18"/>
      <c r="AQ1" s="19"/>
      <c r="AR1" s="18"/>
      <c r="AS1" s="18"/>
      <c r="AT1" s="18"/>
      <c r="AU1" s="18"/>
      <c r="AV1" s="18"/>
      <c r="AW1" s="19"/>
      <c r="AX1" s="18"/>
      <c r="AY1" s="18"/>
      <c r="AZ1" s="18"/>
      <c r="BA1" s="18"/>
      <c r="BB1" s="18"/>
      <c r="BC1" s="19"/>
      <c r="BD1" s="19"/>
    </row>
    <row r="2" spans="1:56" s="14" customFormat="1" x14ac:dyDescent="0.25">
      <c r="A2" s="17"/>
      <c r="B2" s="18"/>
      <c r="C2" s="18"/>
      <c r="D2" s="18"/>
      <c r="E2" s="18"/>
      <c r="F2" s="18"/>
      <c r="G2" s="19"/>
      <c r="H2" s="18"/>
      <c r="I2" s="18"/>
      <c r="J2" s="18"/>
      <c r="K2" s="18"/>
      <c r="L2" s="19"/>
      <c r="M2" s="19"/>
      <c r="N2" s="18"/>
      <c r="O2" s="18"/>
      <c r="P2" s="18"/>
      <c r="Q2" s="18"/>
      <c r="R2" s="18"/>
      <c r="S2" s="19"/>
      <c r="T2" s="18"/>
      <c r="U2" s="18"/>
      <c r="V2" s="18"/>
      <c r="W2" s="18"/>
      <c r="X2" s="18"/>
      <c r="Y2" s="19"/>
      <c r="Z2" s="18"/>
      <c r="AA2" s="18"/>
      <c r="AB2" s="18"/>
      <c r="AC2" s="18"/>
      <c r="AD2" s="18"/>
      <c r="AE2" s="19"/>
      <c r="AF2" s="18"/>
      <c r="AG2" s="18"/>
      <c r="AH2" s="18"/>
      <c r="AI2" s="18"/>
      <c r="AJ2" s="18"/>
      <c r="AK2" s="19"/>
      <c r="AL2" s="18"/>
      <c r="AM2" s="18"/>
      <c r="AN2" s="18"/>
      <c r="AO2" s="18"/>
      <c r="AP2" s="18"/>
      <c r="AQ2" s="19"/>
      <c r="AR2" s="18"/>
      <c r="AS2" s="18"/>
      <c r="AT2" s="18"/>
      <c r="AU2" s="18"/>
      <c r="AV2" s="18"/>
      <c r="AW2" s="19"/>
      <c r="AX2" s="18"/>
      <c r="AY2" s="18"/>
      <c r="AZ2" s="18"/>
      <c r="BA2" s="18"/>
      <c r="BB2" s="18"/>
      <c r="BC2" s="19"/>
      <c r="BD2" s="19"/>
    </row>
    <row r="3" spans="1:56" s="14" customFormat="1" x14ac:dyDescent="0.25">
      <c r="A3" s="17"/>
      <c r="B3" s="18"/>
      <c r="C3" s="18"/>
      <c r="D3" s="18"/>
      <c r="E3" s="18"/>
      <c r="F3" s="18"/>
      <c r="G3" s="19"/>
      <c r="H3" s="18"/>
      <c r="I3" s="18"/>
      <c r="J3" s="18"/>
      <c r="K3" s="18"/>
      <c r="L3" s="19"/>
      <c r="M3" s="19"/>
      <c r="N3" s="18"/>
      <c r="O3" s="18"/>
      <c r="P3" s="18"/>
      <c r="Q3" s="18"/>
      <c r="R3" s="18"/>
      <c r="S3" s="19"/>
      <c r="T3" s="18"/>
      <c r="U3" s="18"/>
      <c r="V3" s="18"/>
      <c r="W3" s="18"/>
      <c r="X3" s="18"/>
      <c r="Y3" s="19"/>
      <c r="Z3" s="18"/>
      <c r="AA3" s="18"/>
      <c r="AB3" s="18"/>
      <c r="AC3" s="18"/>
      <c r="AD3" s="18"/>
      <c r="AE3" s="19"/>
      <c r="AF3" s="18"/>
      <c r="AG3" s="18"/>
      <c r="AH3" s="18"/>
      <c r="AI3" s="18"/>
      <c r="AJ3" s="18"/>
      <c r="AK3" s="19"/>
      <c r="AL3" s="18"/>
      <c r="AM3" s="18"/>
      <c r="AN3" s="18"/>
      <c r="AO3" s="18"/>
      <c r="AP3" s="18"/>
      <c r="AQ3" s="19"/>
      <c r="AR3" s="18"/>
      <c r="AS3" s="18"/>
      <c r="AT3" s="18"/>
      <c r="AU3" s="18"/>
      <c r="AV3" s="18"/>
      <c r="AW3" s="19"/>
      <c r="AX3" s="18"/>
      <c r="AY3" s="18"/>
      <c r="AZ3" s="18"/>
      <c r="BA3" s="18"/>
      <c r="BB3" s="18"/>
      <c r="BC3" s="19"/>
      <c r="BD3" s="19"/>
    </row>
    <row r="4" spans="1:56" s="14" customFormat="1" x14ac:dyDescent="0.25">
      <c r="A4" s="17"/>
      <c r="B4" s="18"/>
      <c r="C4" s="18"/>
      <c r="D4" s="18"/>
      <c r="E4" s="18"/>
      <c r="F4" s="18"/>
      <c r="G4" s="19"/>
      <c r="H4" s="18"/>
      <c r="I4" s="18"/>
      <c r="J4" s="18"/>
      <c r="K4" s="18"/>
      <c r="L4" s="19"/>
      <c r="M4" s="19"/>
      <c r="N4" s="18"/>
      <c r="O4" s="18"/>
      <c r="P4" s="18"/>
      <c r="Q4" s="18"/>
      <c r="R4" s="18"/>
      <c r="S4" s="19"/>
      <c r="T4" s="18"/>
      <c r="U4" s="18"/>
      <c r="V4" s="18"/>
      <c r="W4" s="18"/>
      <c r="X4" s="18"/>
      <c r="Y4" s="19"/>
      <c r="Z4" s="18"/>
      <c r="AA4" s="18"/>
      <c r="AB4" s="18"/>
      <c r="AC4" s="18"/>
      <c r="AD4" s="18"/>
      <c r="AE4" s="19"/>
      <c r="AF4" s="18"/>
      <c r="AG4" s="18"/>
      <c r="AH4" s="18"/>
      <c r="AI4" s="18"/>
      <c r="AJ4" s="18"/>
      <c r="AK4" s="19"/>
      <c r="AL4" s="18"/>
      <c r="AM4" s="18"/>
      <c r="AN4" s="18"/>
      <c r="AO4" s="18"/>
      <c r="AP4" s="18"/>
      <c r="AQ4" s="19"/>
      <c r="AR4" s="18"/>
      <c r="AS4" s="18"/>
      <c r="AT4" s="18"/>
      <c r="AU4" s="18"/>
      <c r="AV4" s="18"/>
      <c r="AW4" s="19"/>
      <c r="AX4" s="18"/>
      <c r="AY4" s="18"/>
      <c r="AZ4" s="18"/>
      <c r="BA4" s="18"/>
      <c r="BB4" s="18"/>
      <c r="BC4" s="19"/>
      <c r="BD4" s="19"/>
    </row>
    <row r="5" spans="1:56" s="14" customFormat="1" x14ac:dyDescent="0.25">
      <c r="A5" s="17"/>
      <c r="B5" s="18"/>
      <c r="C5" s="18"/>
      <c r="D5" s="18"/>
      <c r="E5" s="18"/>
      <c r="F5" s="18"/>
      <c r="G5" s="19"/>
      <c r="H5" s="18"/>
      <c r="I5" s="18"/>
      <c r="J5" s="18"/>
      <c r="K5" s="18"/>
      <c r="L5" s="19"/>
      <c r="M5" s="19"/>
      <c r="N5" s="18"/>
      <c r="O5" s="18"/>
      <c r="P5" s="18"/>
      <c r="Q5" s="18"/>
      <c r="R5" s="18"/>
      <c r="S5" s="19"/>
      <c r="T5" s="18"/>
      <c r="U5" s="18"/>
      <c r="V5" s="18"/>
      <c r="W5" s="18"/>
      <c r="X5" s="18"/>
      <c r="Y5" s="19"/>
      <c r="Z5" s="18"/>
      <c r="AA5" s="18"/>
      <c r="AB5" s="18"/>
      <c r="AC5" s="18"/>
      <c r="AD5" s="18"/>
      <c r="AE5" s="19"/>
      <c r="AF5" s="18"/>
      <c r="AG5" s="18"/>
      <c r="AH5" s="18"/>
      <c r="AI5" s="18"/>
      <c r="AJ5" s="18"/>
      <c r="AK5" s="19"/>
      <c r="AL5" s="18"/>
      <c r="AM5" s="18"/>
      <c r="AN5" s="18"/>
      <c r="AO5" s="18"/>
      <c r="AP5" s="18"/>
      <c r="AQ5" s="19"/>
      <c r="AR5" s="18"/>
      <c r="AS5" s="18"/>
      <c r="AT5" s="18"/>
      <c r="AU5" s="18"/>
      <c r="AV5" s="18"/>
      <c r="AW5" s="19"/>
      <c r="AX5" s="18"/>
      <c r="AY5" s="18"/>
      <c r="AZ5" s="18"/>
      <c r="BA5" s="18"/>
      <c r="BB5" s="18"/>
      <c r="BC5" s="19"/>
      <c r="BD5" s="19"/>
    </row>
    <row r="6" spans="1:56" s="14" customFormat="1" x14ac:dyDescent="0.25">
      <c r="A6" s="17"/>
      <c r="B6" s="18"/>
      <c r="C6" s="18"/>
      <c r="D6" s="18"/>
      <c r="E6" s="18"/>
      <c r="F6" s="18"/>
      <c r="G6" s="19"/>
      <c r="H6" s="18"/>
      <c r="I6" s="18"/>
      <c r="J6" s="18"/>
      <c r="K6" s="18"/>
      <c r="L6" s="19"/>
      <c r="M6" s="19"/>
      <c r="N6" s="18"/>
      <c r="O6" s="18"/>
      <c r="P6" s="18"/>
      <c r="Q6" s="18"/>
      <c r="R6" s="18"/>
      <c r="S6" s="19"/>
      <c r="T6" s="18"/>
      <c r="U6" s="18"/>
      <c r="V6" s="18"/>
      <c r="W6" s="18"/>
      <c r="X6" s="18"/>
      <c r="Y6" s="19"/>
      <c r="Z6" s="18"/>
      <c r="AA6" s="18"/>
      <c r="AB6" s="18"/>
      <c r="AC6" s="18"/>
      <c r="AD6" s="18"/>
      <c r="AE6" s="19"/>
      <c r="AF6" s="18"/>
      <c r="AG6" s="18"/>
      <c r="AH6" s="18"/>
      <c r="AI6" s="18"/>
      <c r="AJ6" s="18"/>
      <c r="AK6" s="19"/>
      <c r="AL6" s="18"/>
      <c r="AM6" s="18"/>
      <c r="AN6" s="18"/>
      <c r="AO6" s="18"/>
      <c r="AP6" s="18"/>
      <c r="AQ6" s="19"/>
      <c r="AR6" s="18"/>
      <c r="AS6" s="18"/>
      <c r="AT6" s="18"/>
      <c r="AU6" s="18"/>
      <c r="AV6" s="18"/>
      <c r="AW6" s="19"/>
      <c r="AX6" s="18"/>
      <c r="AY6" s="18"/>
      <c r="AZ6" s="18"/>
      <c r="BA6" s="18"/>
      <c r="BB6" s="18"/>
      <c r="BC6" s="19"/>
      <c r="BD6" s="19"/>
    </row>
    <row r="7" spans="1:56" s="14" customFormat="1" x14ac:dyDescent="0.25">
      <c r="A7" s="17"/>
      <c r="B7" s="18"/>
      <c r="C7" s="18"/>
      <c r="D7" s="18"/>
      <c r="E7" s="18"/>
      <c r="F7" s="18"/>
      <c r="G7" s="19"/>
      <c r="H7" s="18"/>
      <c r="I7" s="18"/>
      <c r="J7" s="18"/>
      <c r="K7" s="18"/>
      <c r="L7" s="19"/>
      <c r="M7" s="19"/>
      <c r="N7" s="18"/>
      <c r="O7" s="18"/>
      <c r="P7" s="18"/>
      <c r="Q7" s="18"/>
      <c r="R7" s="18"/>
      <c r="S7" s="19"/>
      <c r="T7" s="18"/>
      <c r="U7" s="18"/>
      <c r="V7" s="18"/>
      <c r="W7" s="18"/>
      <c r="X7" s="18"/>
      <c r="Y7" s="19"/>
      <c r="Z7" s="18"/>
      <c r="AA7" s="18"/>
      <c r="AB7" s="18"/>
      <c r="AC7" s="18"/>
      <c r="AD7" s="18"/>
      <c r="AE7" s="19"/>
      <c r="AF7" s="18"/>
      <c r="AG7" s="18"/>
      <c r="AH7" s="18"/>
      <c r="AI7" s="18"/>
      <c r="AJ7" s="18"/>
      <c r="AK7" s="19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9"/>
      <c r="AX7" s="18"/>
      <c r="AY7" s="18"/>
      <c r="AZ7" s="18"/>
      <c r="BA7" s="18"/>
      <c r="BB7" s="18"/>
      <c r="BC7" s="19"/>
      <c r="BD7" s="19"/>
    </row>
    <row r="8" spans="1:56" s="14" customFormat="1" x14ac:dyDescent="0.25">
      <c r="A8" s="17"/>
      <c r="B8" s="18"/>
      <c r="C8" s="18"/>
      <c r="D8" s="18"/>
      <c r="E8" s="18"/>
      <c r="F8" s="18"/>
      <c r="G8" s="19"/>
      <c r="H8" s="18"/>
      <c r="I8" s="18"/>
      <c r="J8" s="18"/>
      <c r="K8" s="18"/>
      <c r="L8" s="19"/>
      <c r="M8" s="19"/>
      <c r="N8" s="18"/>
      <c r="O8" s="18"/>
      <c r="P8" s="18"/>
      <c r="Q8" s="18"/>
      <c r="R8" s="18"/>
      <c r="S8" s="19"/>
      <c r="T8" s="18"/>
      <c r="U8" s="18"/>
      <c r="V8" s="18"/>
      <c r="W8" s="18"/>
      <c r="X8" s="18"/>
      <c r="Y8" s="19"/>
      <c r="Z8" s="18"/>
      <c r="AA8" s="18"/>
      <c r="AB8" s="18"/>
      <c r="AC8" s="18"/>
      <c r="AD8" s="18"/>
      <c r="AE8" s="19"/>
      <c r="AF8" s="18"/>
      <c r="AG8" s="18"/>
      <c r="AH8" s="18"/>
      <c r="AI8" s="18"/>
      <c r="AJ8" s="18"/>
      <c r="AK8" s="19"/>
      <c r="AL8" s="18"/>
      <c r="AM8" s="18"/>
      <c r="AN8" s="18"/>
      <c r="AO8" s="18"/>
      <c r="AP8" s="18"/>
      <c r="AQ8" s="19"/>
      <c r="AR8" s="18"/>
      <c r="AS8" s="18"/>
      <c r="AT8" s="18"/>
      <c r="AU8" s="18"/>
      <c r="AV8" s="18"/>
      <c r="AW8" s="19"/>
      <c r="AX8" s="18"/>
      <c r="AY8" s="18"/>
      <c r="AZ8" s="18"/>
      <c r="BA8" s="18"/>
      <c r="BB8" s="18"/>
      <c r="BC8" s="19"/>
      <c r="BD8" s="19"/>
    </row>
    <row r="9" spans="1:56" s="14" customFormat="1" x14ac:dyDescent="0.25">
      <c r="A9" s="17"/>
      <c r="B9" s="18"/>
      <c r="C9" s="18"/>
      <c r="D9" s="18"/>
      <c r="E9" s="18"/>
      <c r="F9" s="18"/>
      <c r="G9" s="19"/>
      <c r="H9" s="18"/>
      <c r="I9" s="18"/>
      <c r="J9" s="18"/>
      <c r="K9" s="18"/>
      <c r="L9" s="19"/>
      <c r="M9" s="19"/>
      <c r="N9" s="18"/>
      <c r="O9" s="18"/>
      <c r="P9" s="18"/>
      <c r="Q9" s="18"/>
      <c r="R9" s="18"/>
      <c r="S9" s="19"/>
      <c r="T9" s="18"/>
      <c r="U9" s="18"/>
      <c r="V9" s="18"/>
      <c r="W9" s="18"/>
      <c r="X9" s="18"/>
      <c r="Y9" s="19"/>
      <c r="Z9" s="18"/>
      <c r="AA9" s="18"/>
      <c r="AB9" s="18"/>
      <c r="AC9" s="18"/>
      <c r="AD9" s="18"/>
      <c r="AE9" s="19"/>
      <c r="AF9" s="18"/>
      <c r="AG9" s="18"/>
      <c r="AH9" s="18"/>
      <c r="AI9" s="18"/>
      <c r="AJ9" s="18"/>
      <c r="AK9" s="19"/>
      <c r="AL9" s="18"/>
      <c r="AM9" s="18"/>
      <c r="AN9" s="18"/>
      <c r="AO9" s="18"/>
      <c r="AP9" s="18"/>
      <c r="AQ9" s="19"/>
      <c r="AR9" s="18"/>
      <c r="AS9" s="18"/>
      <c r="AT9" s="18"/>
      <c r="AU9" s="18"/>
      <c r="AV9" s="18"/>
      <c r="AW9" s="19"/>
      <c r="AX9" s="18"/>
      <c r="AY9" s="18"/>
      <c r="AZ9" s="18"/>
      <c r="BA9" s="18"/>
      <c r="BB9" s="18"/>
      <c r="BC9" s="19"/>
      <c r="BD9" s="19"/>
    </row>
    <row r="10" spans="1:56" s="14" customFormat="1" x14ac:dyDescent="0.25">
      <c r="A10" s="17"/>
      <c r="B10" s="18"/>
      <c r="C10" s="18"/>
      <c r="D10" s="18"/>
      <c r="E10" s="18"/>
      <c r="F10" s="18"/>
      <c r="G10" s="19"/>
      <c r="H10" s="18"/>
      <c r="I10" s="18"/>
      <c r="J10" s="18"/>
      <c r="K10" s="18"/>
      <c r="L10" s="19"/>
      <c r="M10" s="19"/>
      <c r="N10" s="18"/>
      <c r="O10" s="18"/>
      <c r="P10" s="18"/>
      <c r="Q10" s="18"/>
      <c r="R10" s="18"/>
      <c r="S10" s="19"/>
      <c r="T10" s="18"/>
      <c r="U10" s="18"/>
      <c r="V10" s="18"/>
      <c r="W10" s="18"/>
      <c r="X10" s="18"/>
      <c r="Y10" s="19"/>
      <c r="Z10" s="18"/>
      <c r="AA10" s="18"/>
      <c r="AB10" s="18"/>
      <c r="AC10" s="18"/>
      <c r="AD10" s="18"/>
      <c r="AE10" s="19"/>
      <c r="AF10" s="18"/>
      <c r="AG10" s="18"/>
      <c r="AH10" s="18"/>
      <c r="AI10" s="18"/>
      <c r="AJ10" s="18"/>
      <c r="AK10" s="19"/>
      <c r="AL10" s="18"/>
      <c r="AM10" s="18"/>
      <c r="AN10" s="18"/>
      <c r="AO10" s="18"/>
      <c r="AP10" s="18"/>
      <c r="AQ10" s="19"/>
      <c r="AR10" s="18"/>
      <c r="AS10" s="18"/>
      <c r="AT10" s="18"/>
      <c r="AU10" s="18"/>
      <c r="AV10" s="18"/>
      <c r="AW10" s="19"/>
      <c r="AX10" s="18"/>
      <c r="AY10" s="18"/>
      <c r="AZ10" s="18"/>
      <c r="BA10" s="18"/>
      <c r="BB10" s="18"/>
      <c r="BC10" s="19"/>
      <c r="BD10" s="19"/>
    </row>
    <row r="11" spans="1:56" s="14" customFormat="1" x14ac:dyDescent="0.25">
      <c r="A11" s="17"/>
      <c r="B11" s="18"/>
      <c r="C11" s="18"/>
      <c r="D11" s="18"/>
      <c r="E11" s="18"/>
      <c r="F11" s="18"/>
      <c r="G11" s="19"/>
      <c r="H11" s="18"/>
      <c r="I11" s="18"/>
      <c r="J11" s="18"/>
      <c r="K11" s="18"/>
      <c r="L11" s="19"/>
      <c r="M11" s="19"/>
      <c r="N11" s="18"/>
      <c r="O11" s="18"/>
      <c r="P11" s="18"/>
      <c r="Q11" s="18"/>
      <c r="R11" s="18"/>
      <c r="S11" s="19"/>
      <c r="T11" s="18"/>
      <c r="U11" s="18"/>
      <c r="V11" s="18"/>
      <c r="W11" s="18"/>
      <c r="X11" s="18"/>
      <c r="Y11" s="19"/>
      <c r="Z11" s="18"/>
      <c r="AA11" s="18"/>
      <c r="AB11" s="18"/>
      <c r="AC11" s="18"/>
      <c r="AD11" s="18"/>
      <c r="AE11" s="19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9"/>
      <c r="AR11" s="18"/>
      <c r="AS11" s="18"/>
      <c r="AT11" s="18"/>
      <c r="AU11" s="18"/>
      <c r="AV11" s="18"/>
      <c r="AW11" s="19"/>
      <c r="AX11" s="18"/>
      <c r="AY11" s="18"/>
      <c r="AZ11" s="18"/>
      <c r="BA11" s="18"/>
      <c r="BB11" s="18"/>
      <c r="BC11" s="19"/>
      <c r="BD11" s="19"/>
    </row>
    <row r="12" spans="1:56" s="14" customFormat="1" x14ac:dyDescent="0.25">
      <c r="A12" s="17"/>
      <c r="B12" s="18"/>
      <c r="C12" s="18"/>
      <c r="D12" s="18"/>
      <c r="E12" s="18"/>
      <c r="F12" s="18"/>
      <c r="G12" s="19"/>
      <c r="H12" s="18"/>
      <c r="I12" s="18"/>
      <c r="J12" s="18"/>
      <c r="K12" s="18"/>
      <c r="L12" s="19"/>
      <c r="M12" s="19"/>
      <c r="N12" s="18"/>
      <c r="O12" s="18"/>
      <c r="P12" s="18"/>
      <c r="Q12" s="18"/>
      <c r="R12" s="18"/>
      <c r="S12" s="19"/>
      <c r="T12" s="18"/>
      <c r="U12" s="18"/>
      <c r="V12" s="18"/>
      <c r="W12" s="18"/>
      <c r="X12" s="18"/>
      <c r="Y12" s="19"/>
      <c r="Z12" s="18"/>
      <c r="AA12" s="18"/>
      <c r="AB12" s="18"/>
      <c r="AC12" s="18"/>
      <c r="AD12" s="18"/>
      <c r="AE12" s="19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9"/>
      <c r="AR12" s="18"/>
      <c r="AS12" s="18"/>
      <c r="AT12" s="18"/>
      <c r="AU12" s="18"/>
      <c r="AV12" s="18"/>
      <c r="AW12" s="19"/>
      <c r="AX12" s="18"/>
      <c r="AY12" s="18"/>
      <c r="AZ12" s="18"/>
      <c r="BA12" s="18"/>
      <c r="BB12" s="18"/>
      <c r="BC12" s="19"/>
      <c r="BD12" s="19"/>
    </row>
    <row r="13" spans="1:56" s="14" customFormat="1" x14ac:dyDescent="0.25">
      <c r="A13" s="17"/>
      <c r="B13" s="18"/>
      <c r="C13" s="18"/>
      <c r="D13" s="18"/>
      <c r="E13" s="18"/>
      <c r="F13" s="18"/>
      <c r="G13" s="19"/>
      <c r="H13" s="18"/>
      <c r="I13" s="18"/>
      <c r="J13" s="18"/>
      <c r="K13" s="18"/>
      <c r="L13" s="19"/>
      <c r="M13" s="19"/>
      <c r="N13" s="18"/>
      <c r="O13" s="18"/>
      <c r="P13" s="18"/>
      <c r="Q13" s="18"/>
      <c r="R13" s="18"/>
      <c r="S13" s="19"/>
      <c r="T13" s="18"/>
      <c r="U13" s="18"/>
      <c r="V13" s="18"/>
      <c r="W13" s="18"/>
      <c r="X13" s="18"/>
      <c r="Y13" s="19"/>
      <c r="Z13" s="18"/>
      <c r="AA13" s="18"/>
      <c r="AB13" s="18"/>
      <c r="AC13" s="18"/>
      <c r="AD13" s="18"/>
      <c r="AE13" s="19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9"/>
      <c r="AR13" s="18"/>
      <c r="AS13" s="18"/>
      <c r="AT13" s="18"/>
      <c r="AU13" s="18"/>
      <c r="AV13" s="18"/>
      <c r="AW13" s="19"/>
      <c r="AX13" s="18"/>
      <c r="AY13" s="18"/>
      <c r="AZ13" s="18"/>
      <c r="BA13" s="18"/>
      <c r="BB13" s="18"/>
      <c r="BC13" s="19"/>
      <c r="BD13" s="19"/>
    </row>
    <row r="14" spans="1:56" s="14" customFormat="1" x14ac:dyDescent="0.25">
      <c r="A14" s="17"/>
      <c r="B14" s="18"/>
      <c r="C14" s="18"/>
      <c r="D14" s="18"/>
      <c r="E14" s="18"/>
      <c r="F14" s="18"/>
      <c r="G14" s="19"/>
      <c r="H14" s="18"/>
      <c r="I14" s="18"/>
      <c r="J14" s="18"/>
      <c r="K14" s="18"/>
      <c r="L14" s="19"/>
      <c r="M14" s="19"/>
      <c r="N14" s="18"/>
      <c r="O14" s="18"/>
      <c r="P14" s="18"/>
      <c r="Q14" s="18"/>
      <c r="R14" s="18"/>
      <c r="S14" s="19"/>
      <c r="T14" s="18"/>
      <c r="U14" s="18"/>
      <c r="V14" s="18"/>
      <c r="W14" s="18"/>
      <c r="X14" s="18"/>
      <c r="Y14" s="19"/>
      <c r="Z14" s="18"/>
      <c r="AA14" s="18"/>
      <c r="AB14" s="18"/>
      <c r="AC14" s="18"/>
      <c r="AD14" s="18"/>
      <c r="AE14" s="19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9"/>
      <c r="AX14" s="18"/>
      <c r="AY14" s="18"/>
      <c r="AZ14" s="18"/>
      <c r="BA14" s="18"/>
      <c r="BB14" s="18"/>
      <c r="BC14" s="19"/>
      <c r="BD14" s="19"/>
    </row>
    <row r="15" spans="1:56" s="14" customFormat="1" x14ac:dyDescent="0.25">
      <c r="A15" s="17"/>
      <c r="B15" s="18"/>
      <c r="C15" s="18"/>
      <c r="D15" s="18"/>
      <c r="E15" s="18"/>
      <c r="F15" s="18"/>
      <c r="G15" s="19"/>
      <c r="H15" s="18"/>
      <c r="I15" s="18"/>
      <c r="J15" s="18"/>
      <c r="K15" s="18"/>
      <c r="L15" s="19"/>
      <c r="M15" s="19"/>
      <c r="N15" s="18"/>
      <c r="O15" s="18"/>
      <c r="P15" s="18"/>
      <c r="Q15" s="18"/>
      <c r="R15" s="18"/>
      <c r="S15" s="19"/>
      <c r="T15" s="18"/>
      <c r="U15" s="18"/>
      <c r="V15" s="18"/>
      <c r="W15" s="18"/>
      <c r="X15" s="18"/>
      <c r="Y15" s="19"/>
      <c r="Z15" s="18"/>
      <c r="AA15" s="18"/>
      <c r="AB15" s="18"/>
      <c r="AC15" s="18"/>
      <c r="AD15" s="18"/>
      <c r="AE15" s="19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9"/>
      <c r="AR15" s="18"/>
      <c r="AS15" s="18"/>
      <c r="AT15" s="18"/>
      <c r="AU15" s="18"/>
      <c r="AV15" s="18"/>
      <c r="AW15" s="19"/>
      <c r="AX15" s="18"/>
      <c r="AY15" s="18"/>
      <c r="AZ15" s="18"/>
      <c r="BA15" s="18"/>
      <c r="BB15" s="18"/>
      <c r="BC15" s="19"/>
      <c r="BD15" s="19"/>
    </row>
    <row r="16" spans="1:56" s="14" customFormat="1" x14ac:dyDescent="0.25">
      <c r="A16" s="17"/>
      <c r="B16" s="18"/>
      <c r="C16" s="18"/>
      <c r="D16" s="18"/>
      <c r="E16" s="18"/>
      <c r="F16" s="18"/>
      <c r="G16" s="19"/>
      <c r="H16" s="18"/>
      <c r="I16" s="18"/>
      <c r="J16" s="18"/>
      <c r="K16" s="18"/>
      <c r="L16" s="19"/>
      <c r="M16" s="19"/>
      <c r="N16" s="18"/>
      <c r="O16" s="18"/>
      <c r="P16" s="18"/>
      <c r="Q16" s="18"/>
      <c r="R16" s="18"/>
      <c r="S16" s="19"/>
      <c r="T16" s="18"/>
      <c r="U16" s="18"/>
      <c r="V16" s="18"/>
      <c r="W16" s="18"/>
      <c r="X16" s="18"/>
      <c r="Y16" s="19"/>
      <c r="Z16" s="18"/>
      <c r="AA16" s="18"/>
      <c r="AB16" s="18"/>
      <c r="AC16" s="18"/>
      <c r="AD16" s="18"/>
      <c r="AE16" s="19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9"/>
      <c r="AR16" s="18"/>
      <c r="AS16" s="18"/>
      <c r="AT16" s="18"/>
      <c r="AU16" s="18"/>
      <c r="AV16" s="18"/>
      <c r="AW16" s="19"/>
      <c r="AX16" s="18"/>
      <c r="AY16" s="18"/>
      <c r="AZ16" s="18"/>
      <c r="BA16" s="18"/>
      <c r="BB16" s="18"/>
      <c r="BC16" s="19"/>
      <c r="BD16" s="19"/>
    </row>
    <row r="17" spans="1:56" s="14" customFormat="1" x14ac:dyDescent="0.25">
      <c r="A17" s="17"/>
      <c r="B17" s="18"/>
      <c r="C17" s="18"/>
      <c r="D17" s="18"/>
      <c r="E17" s="18"/>
      <c r="F17" s="18"/>
      <c r="G17" s="19"/>
      <c r="H17" s="18"/>
      <c r="I17" s="18"/>
      <c r="J17" s="18"/>
      <c r="K17" s="18"/>
      <c r="L17" s="19"/>
      <c r="M17" s="19"/>
      <c r="N17" s="18"/>
      <c r="O17" s="18"/>
      <c r="P17" s="18"/>
      <c r="Q17" s="18"/>
      <c r="R17" s="18"/>
      <c r="S17" s="19"/>
      <c r="T17" s="18"/>
      <c r="U17" s="18"/>
      <c r="V17" s="18"/>
      <c r="W17" s="18"/>
      <c r="X17" s="18"/>
      <c r="Y17" s="19"/>
      <c r="Z17" s="18"/>
      <c r="AA17" s="18"/>
      <c r="AB17" s="18"/>
      <c r="AC17" s="18"/>
      <c r="AD17" s="18"/>
      <c r="AE17" s="19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9"/>
      <c r="AR17" s="18"/>
      <c r="AS17" s="18"/>
      <c r="AT17" s="18"/>
      <c r="AU17" s="18"/>
      <c r="AV17" s="18"/>
      <c r="AW17" s="19"/>
      <c r="AX17" s="18"/>
      <c r="AY17" s="18"/>
      <c r="AZ17" s="18"/>
      <c r="BA17" s="18"/>
      <c r="BB17" s="18"/>
      <c r="BC17" s="19"/>
      <c r="BD17" s="19"/>
    </row>
    <row r="18" spans="1:56" s="14" customFormat="1" x14ac:dyDescent="0.25">
      <c r="A18" s="17"/>
      <c r="B18" s="18"/>
      <c r="C18" s="18"/>
      <c r="D18" s="18"/>
      <c r="E18" s="18"/>
      <c r="F18" s="18"/>
      <c r="G18" s="19"/>
      <c r="H18" s="18"/>
      <c r="I18" s="18"/>
      <c r="J18" s="18"/>
      <c r="K18" s="18"/>
      <c r="L18" s="19"/>
      <c r="M18" s="19"/>
      <c r="N18" s="18"/>
      <c r="O18" s="18"/>
      <c r="P18" s="18"/>
      <c r="Q18" s="18"/>
      <c r="R18" s="18"/>
      <c r="S18" s="19"/>
      <c r="T18" s="18"/>
      <c r="U18" s="18"/>
      <c r="V18" s="18"/>
      <c r="W18" s="18"/>
      <c r="X18" s="18"/>
      <c r="Y18" s="19"/>
      <c r="Z18" s="18"/>
      <c r="AA18" s="18"/>
      <c r="AB18" s="18"/>
      <c r="AC18" s="18"/>
      <c r="AD18" s="18"/>
      <c r="AE18" s="19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9"/>
      <c r="AR18" s="18"/>
      <c r="AS18" s="18"/>
      <c r="AT18" s="18"/>
      <c r="AU18" s="18"/>
      <c r="AV18" s="18"/>
      <c r="AW18" s="19"/>
      <c r="AX18" s="18"/>
      <c r="AY18" s="18"/>
      <c r="AZ18" s="18"/>
      <c r="BA18" s="18"/>
      <c r="BB18" s="18"/>
      <c r="BC18" s="19"/>
      <c r="BD18" s="19"/>
    </row>
    <row r="19" spans="1:56" s="14" customFormat="1" x14ac:dyDescent="0.25">
      <c r="A19" s="17"/>
      <c r="B19" s="18"/>
      <c r="C19" s="18"/>
      <c r="D19" s="18"/>
      <c r="E19" s="18"/>
      <c r="F19" s="18"/>
      <c r="G19" s="19"/>
      <c r="H19" s="18"/>
      <c r="I19" s="18"/>
      <c r="J19" s="18"/>
      <c r="K19" s="18"/>
      <c r="L19" s="19"/>
      <c r="M19" s="19"/>
      <c r="N19" s="18"/>
      <c r="O19" s="18"/>
      <c r="P19" s="18"/>
      <c r="Q19" s="18"/>
      <c r="R19" s="18"/>
      <c r="S19" s="19"/>
      <c r="T19" s="18"/>
      <c r="U19" s="18"/>
      <c r="V19" s="18"/>
      <c r="W19" s="18"/>
      <c r="X19" s="18"/>
      <c r="Y19" s="19"/>
      <c r="Z19" s="18"/>
      <c r="AA19" s="18"/>
      <c r="AB19" s="18"/>
      <c r="AC19" s="18"/>
      <c r="AD19" s="18"/>
      <c r="AE19" s="19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9"/>
      <c r="AR19" s="18"/>
      <c r="AS19" s="18"/>
      <c r="AT19" s="18"/>
      <c r="AU19" s="18"/>
      <c r="AV19" s="18"/>
      <c r="AW19" s="19"/>
      <c r="AX19" s="18"/>
      <c r="AY19" s="18"/>
      <c r="AZ19" s="18"/>
      <c r="BA19" s="18"/>
      <c r="BB19" s="18"/>
      <c r="BC19" s="19"/>
      <c r="BD19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D53"/>
  <sheetViews>
    <sheetView zoomScale="85" zoomScaleNormal="85" workbookViewId="0">
      <selection activeCell="E13" sqref="E13"/>
    </sheetView>
  </sheetViews>
  <sheetFormatPr defaultRowHeight="15" x14ac:dyDescent="0.25"/>
  <cols>
    <col min="1" max="1" width="7" style="1" customWidth="1"/>
    <col min="2" max="2" width="12.85546875" style="1" customWidth="1"/>
    <col min="3" max="3" width="10.42578125" style="1" customWidth="1"/>
    <col min="4" max="4" width="5.28515625" style="1" customWidth="1"/>
    <col min="5" max="5" width="12.140625" style="1" customWidth="1"/>
    <col min="6" max="6" width="6" style="1" customWidth="1"/>
    <col min="7" max="7" width="10" style="1" customWidth="1"/>
    <col min="8" max="8" width="7.42578125" style="1" customWidth="1"/>
    <col min="9" max="9" width="8.7109375" style="1" customWidth="1"/>
    <col min="10" max="10" width="7.28515625" style="1" bestFit="1" customWidth="1"/>
    <col min="11" max="11" width="6.28515625" style="1" bestFit="1" customWidth="1"/>
    <col min="12" max="12" width="6.7109375" style="1" customWidth="1"/>
    <col min="13" max="13" width="9.7109375" style="1" customWidth="1"/>
    <col min="14" max="14" width="11.42578125" style="1" customWidth="1"/>
    <col min="15" max="15" width="6.140625" style="1" customWidth="1"/>
    <col min="16" max="16" width="5.5703125" style="1" customWidth="1"/>
    <col min="17" max="17" width="6" style="1" customWidth="1"/>
    <col min="18" max="18" width="6.28515625" style="1" customWidth="1"/>
    <col min="19" max="19" width="8" style="1" customWidth="1"/>
    <col min="20" max="20" width="7.85546875" style="1" customWidth="1"/>
    <col min="21" max="21" width="6" style="1" customWidth="1"/>
    <col min="22" max="22" width="6.5703125" style="1" customWidth="1"/>
    <col min="23" max="23" width="6.42578125" style="1" customWidth="1"/>
    <col min="24" max="24" width="6.140625" style="1" customWidth="1"/>
    <col min="25" max="25" width="12" style="1" customWidth="1"/>
    <col min="26" max="26" width="10.7109375" style="1" customWidth="1"/>
    <col min="27" max="27" width="5.85546875" style="1" customWidth="1"/>
    <col min="28" max="28" width="10.7109375" style="1" customWidth="1"/>
    <col min="29" max="29" width="11.85546875" style="1" customWidth="1"/>
    <col min="30" max="30" width="14.85546875" style="1" customWidth="1"/>
    <col min="31" max="31" width="13.85546875" style="1" customWidth="1"/>
    <col min="32" max="32" width="7.7109375" style="1" customWidth="1"/>
    <col min="33" max="33" width="6.5703125" style="1" customWidth="1"/>
    <col min="34" max="34" width="6.140625" style="1" customWidth="1"/>
    <col min="35" max="35" width="6.7109375" style="1" customWidth="1"/>
    <col min="36" max="36" width="7.7109375" style="1" customWidth="1"/>
    <col min="37" max="37" width="7.85546875" style="1" customWidth="1"/>
    <col min="38" max="38" width="7.140625" style="1" customWidth="1"/>
    <col min="39" max="40" width="6.140625" style="1" customWidth="1"/>
    <col min="41" max="41" width="6.7109375" style="1" customWidth="1"/>
    <col min="42" max="42" width="6.28515625" style="1" customWidth="1"/>
    <col min="43" max="43" width="7.85546875" style="1" customWidth="1"/>
    <col min="44" max="44" width="7.28515625" style="1" customWidth="1"/>
    <col min="45" max="45" width="5.7109375" style="1" customWidth="1"/>
    <col min="46" max="47" width="6.42578125" style="1" customWidth="1"/>
    <col min="48" max="48" width="6.5703125" style="1" customWidth="1"/>
    <col min="49" max="49" width="7.42578125" style="1" customWidth="1"/>
    <col min="50" max="50" width="7.7109375" style="1" customWidth="1"/>
    <col min="51" max="51" width="7" style="1" customWidth="1"/>
    <col min="52" max="52" width="6.7109375" style="1" customWidth="1"/>
    <col min="53" max="53" width="7.140625" style="1" customWidth="1"/>
    <col min="54" max="54" width="8.42578125" style="1" customWidth="1"/>
    <col min="55" max="55" width="8.140625" style="1" customWidth="1"/>
    <col min="56" max="56" width="7.42578125" style="1" customWidth="1"/>
    <col min="57" max="16384" width="9.140625" style="1"/>
  </cols>
  <sheetData>
    <row r="1" spans="1:56" s="14" customFormat="1" ht="15.75" x14ac:dyDescent="0.25">
      <c r="A1" s="91" t="s">
        <v>4</v>
      </c>
      <c r="B1" s="92"/>
      <c r="C1" s="92"/>
      <c r="D1" s="18"/>
      <c r="E1" s="24" t="s">
        <v>87</v>
      </c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8"/>
      <c r="S1" s="19"/>
      <c r="T1" s="18"/>
      <c r="U1" s="18"/>
      <c r="V1" s="18"/>
      <c r="W1" s="18"/>
      <c r="X1" s="18"/>
      <c r="Y1" s="19"/>
      <c r="Z1" s="18"/>
      <c r="AA1" s="18"/>
      <c r="AB1" s="18"/>
      <c r="AC1" s="18"/>
      <c r="AD1" s="18"/>
      <c r="AE1" s="19"/>
      <c r="AF1" s="18"/>
      <c r="AG1" s="18"/>
      <c r="AH1" s="18"/>
      <c r="AI1" s="18"/>
      <c r="AJ1" s="18"/>
      <c r="AK1" s="19"/>
      <c r="AL1" s="18"/>
      <c r="AM1" s="18"/>
      <c r="AN1" s="18"/>
      <c r="AO1" s="18"/>
      <c r="AP1" s="18"/>
      <c r="AQ1" s="19"/>
      <c r="AR1" s="18"/>
      <c r="AS1" s="18"/>
      <c r="AT1" s="18"/>
      <c r="AU1" s="18"/>
      <c r="AV1" s="18"/>
      <c r="AW1" s="19"/>
      <c r="AX1" s="18"/>
      <c r="AY1" s="18"/>
      <c r="AZ1" s="18"/>
      <c r="BA1" s="18"/>
      <c r="BB1" s="18"/>
      <c r="BC1" s="19"/>
      <c r="BD1" s="19"/>
    </row>
    <row r="2" spans="1:56" s="14" customFormat="1" x14ac:dyDescent="0.25">
      <c r="A2" s="17"/>
      <c r="B2" s="18"/>
      <c r="C2" s="86">
        <v>1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5"/>
      <c r="O2" s="73">
        <v>2</v>
      </c>
      <c r="P2" s="74"/>
      <c r="Q2" s="74"/>
      <c r="R2" s="74"/>
      <c r="S2" s="74"/>
      <c r="T2" s="74"/>
      <c r="U2" s="74"/>
      <c r="V2" s="74"/>
      <c r="W2" s="74"/>
      <c r="X2" s="74"/>
      <c r="Y2" s="75"/>
      <c r="Z2" s="18"/>
      <c r="AA2" s="18"/>
      <c r="AB2" s="18"/>
      <c r="AC2" s="18"/>
      <c r="AD2" s="18"/>
      <c r="AE2" s="19"/>
      <c r="AF2" s="18"/>
      <c r="AG2" s="18"/>
      <c r="AH2" s="18"/>
      <c r="AI2" s="18"/>
      <c r="AJ2" s="18"/>
      <c r="AK2" s="19"/>
      <c r="AL2" s="18"/>
      <c r="AM2" s="18"/>
      <c r="AN2" s="18"/>
      <c r="AO2" s="18"/>
      <c r="AP2" s="18"/>
      <c r="AQ2" s="19"/>
      <c r="AR2" s="18"/>
      <c r="AS2" s="18"/>
      <c r="AT2" s="18"/>
      <c r="AU2" s="18"/>
      <c r="AV2" s="18"/>
      <c r="AW2" s="19"/>
      <c r="AX2" s="18"/>
      <c r="AY2" s="18"/>
      <c r="AZ2" s="18"/>
      <c r="BA2" s="18"/>
      <c r="BB2" s="18"/>
      <c r="BC2" s="19"/>
      <c r="BD2" s="19"/>
    </row>
    <row r="3" spans="1:56" s="14" customFormat="1" x14ac:dyDescent="0.25">
      <c r="A3" s="17"/>
      <c r="B3" s="18"/>
      <c r="C3" s="30"/>
      <c r="D3" s="113" t="s">
        <v>14</v>
      </c>
      <c r="E3" s="114"/>
      <c r="F3" s="114"/>
      <c r="G3" s="115"/>
      <c r="H3" s="111" t="s">
        <v>15</v>
      </c>
      <c r="I3" s="112"/>
      <c r="J3" s="112"/>
      <c r="K3" s="112"/>
      <c r="L3" s="109" t="s">
        <v>13</v>
      </c>
      <c r="M3" s="110"/>
      <c r="N3" s="110"/>
      <c r="P3" s="76" t="s">
        <v>14</v>
      </c>
      <c r="Q3" s="57"/>
      <c r="R3" s="57"/>
      <c r="S3" s="58"/>
      <c r="T3" s="76" t="s">
        <v>15</v>
      </c>
      <c r="U3" s="57"/>
      <c r="V3" s="57"/>
      <c r="W3" s="58"/>
      <c r="X3" s="77" t="s">
        <v>16</v>
      </c>
      <c r="Y3" s="78"/>
      <c r="Z3" s="79"/>
      <c r="AA3" s="18"/>
      <c r="AB3" s="18"/>
      <c r="AC3" s="87" t="s">
        <v>90</v>
      </c>
      <c r="AD3" s="88"/>
      <c r="AE3" s="87" t="s">
        <v>91</v>
      </c>
      <c r="AF3" s="88"/>
      <c r="AG3" s="18"/>
      <c r="AH3" s="18"/>
      <c r="AI3" s="18"/>
      <c r="AJ3" s="18"/>
      <c r="AK3" s="19"/>
      <c r="AL3" s="18"/>
      <c r="AM3" s="18"/>
      <c r="AN3" s="18"/>
      <c r="AO3" s="18"/>
      <c r="AP3" s="18"/>
      <c r="AQ3" s="19"/>
      <c r="AR3" s="18"/>
      <c r="AS3" s="18"/>
      <c r="AT3" s="18"/>
      <c r="AU3" s="18"/>
      <c r="AV3" s="18"/>
      <c r="AW3" s="19"/>
      <c r="AX3" s="18"/>
      <c r="AY3" s="18"/>
      <c r="AZ3" s="18"/>
      <c r="BA3" s="18"/>
      <c r="BB3" s="18"/>
      <c r="BC3" s="19"/>
      <c r="BD3" s="19"/>
    </row>
    <row r="4" spans="1:56" s="14" customFormat="1" x14ac:dyDescent="0.25">
      <c r="A4" s="40" t="s">
        <v>5</v>
      </c>
      <c r="B4" s="41" t="s">
        <v>6</v>
      </c>
      <c r="C4" s="31" t="s">
        <v>8</v>
      </c>
      <c r="D4" s="18" t="s">
        <v>9</v>
      </c>
      <c r="E4" s="18" t="s">
        <v>10</v>
      </c>
      <c r="F4" s="18" t="s">
        <v>11</v>
      </c>
      <c r="G4" s="26" t="s">
        <v>12</v>
      </c>
      <c r="H4" s="25" t="s">
        <v>9</v>
      </c>
      <c r="I4" s="18" t="s">
        <v>10</v>
      </c>
      <c r="J4" s="18" t="s">
        <v>11</v>
      </c>
      <c r="K4" s="33" t="s">
        <v>12</v>
      </c>
      <c r="L4" s="35" t="s">
        <v>9</v>
      </c>
      <c r="M4" s="19" t="s">
        <v>10</v>
      </c>
      <c r="N4" s="33" t="s">
        <v>12</v>
      </c>
      <c r="O4" s="46" t="s">
        <v>8</v>
      </c>
      <c r="P4" s="25" t="s">
        <v>9</v>
      </c>
      <c r="Q4" s="18" t="s">
        <v>10</v>
      </c>
      <c r="R4" s="18" t="s">
        <v>11</v>
      </c>
      <c r="S4" s="33" t="s">
        <v>12</v>
      </c>
      <c r="T4" s="35" t="s">
        <v>9</v>
      </c>
      <c r="U4" s="18" t="s">
        <v>10</v>
      </c>
      <c r="V4" s="18" t="s">
        <v>11</v>
      </c>
      <c r="W4" s="33" t="s">
        <v>12</v>
      </c>
      <c r="X4" s="25" t="s">
        <v>9</v>
      </c>
      <c r="Y4" s="18" t="s">
        <v>10</v>
      </c>
      <c r="Z4" s="26" t="s">
        <v>12</v>
      </c>
      <c r="AA4" s="18"/>
      <c r="AB4" s="18" t="s">
        <v>5</v>
      </c>
      <c r="AC4" s="59" t="s">
        <v>88</v>
      </c>
      <c r="AD4" s="41" t="s">
        <v>89</v>
      </c>
      <c r="AE4" s="48" t="s">
        <v>88</v>
      </c>
      <c r="AF4" s="41" t="s">
        <v>89</v>
      </c>
      <c r="AG4" s="18"/>
      <c r="AH4" s="18"/>
      <c r="AI4" s="18"/>
      <c r="AJ4" s="18"/>
      <c r="AK4" s="19"/>
      <c r="AL4" s="18"/>
      <c r="AM4" s="18"/>
      <c r="AN4" s="18"/>
      <c r="AO4" s="18"/>
      <c r="AP4" s="18"/>
      <c r="AQ4" s="19"/>
      <c r="AR4" s="18"/>
      <c r="AS4" s="18"/>
      <c r="AT4" s="18"/>
      <c r="AU4" s="18"/>
      <c r="AV4" s="18"/>
      <c r="AW4" s="19"/>
      <c r="AX4" s="18"/>
      <c r="AY4" s="18"/>
      <c r="AZ4" s="18"/>
      <c r="BA4" s="18"/>
      <c r="BB4" s="18"/>
      <c r="BC4" s="19"/>
      <c r="BD4" s="19"/>
    </row>
    <row r="5" spans="1:56" s="14" customFormat="1" x14ac:dyDescent="0.25">
      <c r="A5" s="42">
        <v>1</v>
      </c>
      <c r="B5" s="43" t="s">
        <v>7</v>
      </c>
      <c r="C5" s="31">
        <v>20</v>
      </c>
      <c r="D5" s="18">
        <v>16</v>
      </c>
      <c r="E5" s="18">
        <v>32</v>
      </c>
      <c r="F5" s="18">
        <v>2.0299999999999998</v>
      </c>
      <c r="G5" s="26">
        <v>3</v>
      </c>
      <c r="H5" s="25">
        <v>16</v>
      </c>
      <c r="I5" s="18">
        <v>32</v>
      </c>
      <c r="J5" s="18">
        <v>1.18</v>
      </c>
      <c r="K5" s="33">
        <v>3</v>
      </c>
      <c r="L5" s="35">
        <v>12</v>
      </c>
      <c r="M5" s="19">
        <v>30</v>
      </c>
      <c r="N5" s="33">
        <v>7</v>
      </c>
      <c r="O5" s="31">
        <v>20</v>
      </c>
      <c r="P5" s="25">
        <v>16</v>
      </c>
      <c r="Q5" s="18">
        <v>32</v>
      </c>
      <c r="R5" s="18">
        <v>2.0299999999999998</v>
      </c>
      <c r="S5" s="33">
        <v>3</v>
      </c>
      <c r="T5" s="35">
        <v>16</v>
      </c>
      <c r="U5" s="18">
        <v>32</v>
      </c>
      <c r="V5" s="18">
        <v>1.18</v>
      </c>
      <c r="W5" s="33">
        <v>3</v>
      </c>
      <c r="X5" s="25">
        <v>12</v>
      </c>
      <c r="Y5" s="18">
        <v>30</v>
      </c>
      <c r="Z5" s="26">
        <v>7</v>
      </c>
      <c r="AA5" s="18"/>
      <c r="AB5" s="18">
        <v>1</v>
      </c>
      <c r="AC5" s="25">
        <v>0.36</v>
      </c>
      <c r="AD5" s="33">
        <v>22.58</v>
      </c>
      <c r="AE5" s="35">
        <v>0.36</v>
      </c>
      <c r="AF5" s="33">
        <v>22.58</v>
      </c>
      <c r="AG5" s="18"/>
      <c r="AH5" s="18"/>
      <c r="AI5" s="18"/>
      <c r="AJ5" s="18"/>
      <c r="AK5" s="19"/>
      <c r="AL5" s="18"/>
      <c r="AM5" s="18"/>
      <c r="AN5" s="18"/>
      <c r="AO5" s="18"/>
      <c r="AP5" s="18"/>
      <c r="AQ5" s="19"/>
      <c r="AR5" s="18"/>
      <c r="AS5" s="18"/>
      <c r="AT5" s="18"/>
      <c r="AU5" s="18"/>
      <c r="AV5" s="18"/>
      <c r="AW5" s="19"/>
      <c r="AX5" s="18"/>
      <c r="AY5" s="18"/>
      <c r="AZ5" s="18"/>
      <c r="BA5" s="18"/>
      <c r="BB5" s="18"/>
      <c r="BC5" s="19"/>
      <c r="BD5" s="19"/>
    </row>
    <row r="6" spans="1:56" s="14" customFormat="1" x14ac:dyDescent="0.25">
      <c r="A6" s="42">
        <v>1.5</v>
      </c>
      <c r="B6" s="43" t="s">
        <v>7</v>
      </c>
      <c r="C6" s="31">
        <v>22</v>
      </c>
      <c r="D6" s="18">
        <v>16</v>
      </c>
      <c r="E6" s="18">
        <v>30</v>
      </c>
      <c r="F6" s="18">
        <v>2.5299999999999998</v>
      </c>
      <c r="G6" s="26">
        <v>4</v>
      </c>
      <c r="H6" s="25">
        <v>16</v>
      </c>
      <c r="I6" s="18">
        <v>30</v>
      </c>
      <c r="J6" s="18">
        <v>1.68</v>
      </c>
      <c r="K6" s="33">
        <v>3</v>
      </c>
      <c r="L6" s="35">
        <v>12</v>
      </c>
      <c r="M6" s="19">
        <v>30</v>
      </c>
      <c r="N6" s="33">
        <v>9</v>
      </c>
      <c r="O6" s="31">
        <v>22</v>
      </c>
      <c r="P6" s="25">
        <v>16</v>
      </c>
      <c r="Q6" s="18">
        <v>30</v>
      </c>
      <c r="R6" s="18">
        <v>2.5299999999999998</v>
      </c>
      <c r="S6" s="33">
        <v>4</v>
      </c>
      <c r="T6" s="35">
        <v>16</v>
      </c>
      <c r="U6" s="18">
        <v>30</v>
      </c>
      <c r="V6" s="18">
        <v>1.68</v>
      </c>
      <c r="W6" s="33">
        <v>3</v>
      </c>
      <c r="X6" s="25">
        <v>12</v>
      </c>
      <c r="Y6" s="18">
        <v>30</v>
      </c>
      <c r="Z6" s="26">
        <v>9</v>
      </c>
      <c r="AA6" s="18"/>
      <c r="AB6" s="18">
        <v>1.5</v>
      </c>
      <c r="AC6" s="25">
        <v>0.51</v>
      </c>
      <c r="AD6" s="33">
        <v>29.44</v>
      </c>
      <c r="AE6" s="35">
        <v>0.51</v>
      </c>
      <c r="AF6" s="33">
        <v>29.44</v>
      </c>
      <c r="AG6" s="18"/>
      <c r="AH6" s="18"/>
      <c r="AI6" s="18"/>
      <c r="AJ6" s="18"/>
      <c r="AK6" s="19"/>
      <c r="AL6" s="18"/>
      <c r="AM6" s="18"/>
      <c r="AN6" s="18"/>
      <c r="AO6" s="18"/>
      <c r="AP6" s="18"/>
      <c r="AQ6" s="19"/>
      <c r="AR6" s="18"/>
      <c r="AS6" s="18"/>
      <c r="AT6" s="18"/>
      <c r="AU6" s="18"/>
      <c r="AV6" s="18"/>
      <c r="AW6" s="19"/>
      <c r="AX6" s="18"/>
      <c r="AY6" s="18"/>
      <c r="AZ6" s="18"/>
      <c r="BA6" s="18"/>
      <c r="BB6" s="18"/>
      <c r="BC6" s="19"/>
      <c r="BD6" s="19"/>
    </row>
    <row r="7" spans="1:56" s="14" customFormat="1" x14ac:dyDescent="0.25">
      <c r="A7" s="42">
        <v>2</v>
      </c>
      <c r="B7" s="43" t="s">
        <v>7</v>
      </c>
      <c r="C7" s="31">
        <v>25</v>
      </c>
      <c r="D7" s="18">
        <v>16</v>
      </c>
      <c r="E7" s="18">
        <v>30</v>
      </c>
      <c r="F7" s="18">
        <v>3.03</v>
      </c>
      <c r="G7" s="26">
        <v>4</v>
      </c>
      <c r="H7" s="25">
        <v>16</v>
      </c>
      <c r="I7" s="18">
        <v>30</v>
      </c>
      <c r="J7" s="18">
        <v>2.04</v>
      </c>
      <c r="K7" s="33">
        <v>3</v>
      </c>
      <c r="L7" s="35">
        <v>12</v>
      </c>
      <c r="M7" s="19">
        <v>30</v>
      </c>
      <c r="N7" s="33">
        <v>10</v>
      </c>
      <c r="O7" s="31">
        <v>25</v>
      </c>
      <c r="P7" s="25">
        <v>16</v>
      </c>
      <c r="Q7" s="18">
        <v>30</v>
      </c>
      <c r="R7" s="18">
        <v>3.03</v>
      </c>
      <c r="S7" s="33">
        <v>4</v>
      </c>
      <c r="T7" s="35">
        <v>16</v>
      </c>
      <c r="U7" s="18">
        <v>30</v>
      </c>
      <c r="V7" s="18">
        <v>2.04</v>
      </c>
      <c r="W7" s="33">
        <v>3</v>
      </c>
      <c r="X7" s="25">
        <v>12</v>
      </c>
      <c r="Y7" s="18">
        <v>30</v>
      </c>
      <c r="Z7" s="26">
        <v>10</v>
      </c>
      <c r="AA7" s="18"/>
      <c r="AB7" s="18">
        <v>2</v>
      </c>
      <c r="AC7" s="25">
        <v>0.7</v>
      </c>
      <c r="AD7" s="33">
        <v>34.67</v>
      </c>
      <c r="AE7" s="35">
        <v>0.7</v>
      </c>
      <c r="AF7" s="33">
        <v>34.67</v>
      </c>
      <c r="AG7" s="18"/>
      <c r="AH7" s="18"/>
      <c r="AI7" s="18"/>
      <c r="AJ7" s="18"/>
      <c r="AK7" s="19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9"/>
      <c r="AX7" s="18"/>
      <c r="AY7" s="18"/>
      <c r="AZ7" s="18"/>
      <c r="BA7" s="18"/>
      <c r="BB7" s="18"/>
      <c r="BC7" s="19"/>
      <c r="BD7" s="19"/>
    </row>
    <row r="8" spans="1:56" s="14" customFormat="1" x14ac:dyDescent="0.25">
      <c r="A8" s="42">
        <v>2.5</v>
      </c>
      <c r="B8" s="43" t="s">
        <v>7</v>
      </c>
      <c r="C8" s="31">
        <v>25</v>
      </c>
      <c r="D8" s="18">
        <v>20</v>
      </c>
      <c r="E8" s="18">
        <v>32</v>
      </c>
      <c r="F8" s="18">
        <v>3.62</v>
      </c>
      <c r="G8" s="26">
        <v>3</v>
      </c>
      <c r="H8" s="25">
        <v>20</v>
      </c>
      <c r="I8" s="18">
        <v>32</v>
      </c>
      <c r="J8" s="18">
        <v>2.52</v>
      </c>
      <c r="K8" s="33">
        <v>3</v>
      </c>
      <c r="L8" s="35">
        <v>12</v>
      </c>
      <c r="M8" s="19">
        <v>30</v>
      </c>
      <c r="N8" s="33">
        <v>12</v>
      </c>
      <c r="O8" s="31">
        <v>25</v>
      </c>
      <c r="P8" s="25">
        <v>20</v>
      </c>
      <c r="Q8" s="18">
        <v>32</v>
      </c>
      <c r="R8" s="18">
        <v>3.62</v>
      </c>
      <c r="S8" s="33">
        <v>3</v>
      </c>
      <c r="T8" s="35">
        <v>20</v>
      </c>
      <c r="U8" s="18">
        <v>32</v>
      </c>
      <c r="V8" s="18">
        <v>2.52</v>
      </c>
      <c r="W8" s="33">
        <v>3</v>
      </c>
      <c r="X8" s="25">
        <v>12</v>
      </c>
      <c r="Y8" s="18">
        <v>30</v>
      </c>
      <c r="Z8" s="26">
        <v>12</v>
      </c>
      <c r="AA8" s="18"/>
      <c r="AB8" s="18">
        <v>2.5</v>
      </c>
      <c r="AC8" s="25">
        <v>0.83</v>
      </c>
      <c r="AD8" s="33">
        <v>59.12</v>
      </c>
      <c r="AE8" s="35">
        <v>0.83</v>
      </c>
      <c r="AF8" s="33">
        <v>59.12</v>
      </c>
      <c r="AG8" s="18"/>
      <c r="AH8" s="18"/>
      <c r="AI8" s="18"/>
      <c r="AJ8" s="18"/>
      <c r="AK8" s="19"/>
      <c r="AL8" s="18"/>
      <c r="AM8" s="18"/>
      <c r="AN8" s="18"/>
      <c r="AO8" s="18"/>
      <c r="AP8" s="18"/>
      <c r="AQ8" s="19"/>
      <c r="AR8" s="18"/>
      <c r="AS8" s="18"/>
      <c r="AT8" s="18"/>
      <c r="AU8" s="18"/>
      <c r="AV8" s="18"/>
      <c r="AW8" s="19"/>
      <c r="AX8" s="18"/>
      <c r="AY8" s="18"/>
      <c r="AZ8" s="18"/>
      <c r="BA8" s="18"/>
      <c r="BB8" s="18"/>
      <c r="BC8" s="19"/>
      <c r="BD8" s="19"/>
    </row>
    <row r="9" spans="1:56" s="14" customFormat="1" x14ac:dyDescent="0.25">
      <c r="A9" s="42">
        <v>3</v>
      </c>
      <c r="B9" s="43" t="s">
        <v>7</v>
      </c>
      <c r="C9" s="31">
        <v>27</v>
      </c>
      <c r="D9" s="18">
        <v>20</v>
      </c>
      <c r="E9" s="18">
        <v>26</v>
      </c>
      <c r="F9" s="18">
        <v>4.12</v>
      </c>
      <c r="G9" s="26">
        <v>4</v>
      </c>
      <c r="H9" s="25">
        <v>20</v>
      </c>
      <c r="I9" s="18">
        <v>26</v>
      </c>
      <c r="J9" s="18">
        <v>2.9</v>
      </c>
      <c r="K9" s="33">
        <v>4</v>
      </c>
      <c r="L9" s="35">
        <v>12</v>
      </c>
      <c r="M9" s="19">
        <v>30</v>
      </c>
      <c r="N9" s="33">
        <v>14</v>
      </c>
      <c r="O9" s="31">
        <v>27</v>
      </c>
      <c r="P9" s="25">
        <v>20</v>
      </c>
      <c r="Q9" s="18">
        <v>26</v>
      </c>
      <c r="R9" s="18">
        <v>4.12</v>
      </c>
      <c r="S9" s="33">
        <v>4</v>
      </c>
      <c r="T9" s="35">
        <v>20</v>
      </c>
      <c r="U9" s="18">
        <v>26</v>
      </c>
      <c r="V9" s="18">
        <v>2.9</v>
      </c>
      <c r="W9" s="33">
        <v>4</v>
      </c>
      <c r="X9" s="25">
        <v>12</v>
      </c>
      <c r="Y9" s="18">
        <v>30</v>
      </c>
      <c r="Z9" s="26">
        <v>14</v>
      </c>
      <c r="AA9" s="18"/>
      <c r="AB9" s="18">
        <v>3</v>
      </c>
      <c r="AC9" s="25">
        <v>1.03</v>
      </c>
      <c r="AD9" s="33">
        <v>67.86</v>
      </c>
      <c r="AE9" s="35">
        <v>1.03</v>
      </c>
      <c r="AF9" s="33">
        <v>67.86</v>
      </c>
      <c r="AG9" s="18"/>
      <c r="AH9" s="18"/>
      <c r="AI9" s="18"/>
      <c r="AJ9" s="18"/>
      <c r="AK9" s="19"/>
      <c r="AL9" s="18"/>
      <c r="AM9" s="18"/>
      <c r="AN9" s="18"/>
      <c r="AO9" s="18"/>
      <c r="AP9" s="18"/>
      <c r="AQ9" s="19"/>
      <c r="AR9" s="18"/>
      <c r="AS9" s="18"/>
      <c r="AT9" s="18"/>
      <c r="AU9" s="18"/>
      <c r="AV9" s="18"/>
      <c r="AW9" s="19"/>
      <c r="AX9" s="18"/>
      <c r="AY9" s="18"/>
      <c r="AZ9" s="18"/>
      <c r="BA9" s="18"/>
      <c r="BB9" s="18"/>
      <c r="BC9" s="19"/>
      <c r="BD9" s="19"/>
    </row>
    <row r="10" spans="1:56" s="14" customFormat="1" x14ac:dyDescent="0.25">
      <c r="A10" s="42">
        <v>3.5</v>
      </c>
      <c r="B10" s="43" t="s">
        <v>7</v>
      </c>
      <c r="C10" s="31">
        <v>30</v>
      </c>
      <c r="D10" s="18">
        <v>24</v>
      </c>
      <c r="E10" s="18">
        <v>32</v>
      </c>
      <c r="F10" s="18">
        <v>4.7</v>
      </c>
      <c r="G10" s="26">
        <v>3</v>
      </c>
      <c r="H10" s="25">
        <v>24</v>
      </c>
      <c r="I10" s="18">
        <v>32</v>
      </c>
      <c r="J10" s="18">
        <v>3.38</v>
      </c>
      <c r="K10" s="33">
        <v>3</v>
      </c>
      <c r="L10" s="35">
        <v>12</v>
      </c>
      <c r="M10" s="19">
        <v>30</v>
      </c>
      <c r="N10" s="33">
        <v>15</v>
      </c>
      <c r="O10" s="31">
        <v>30</v>
      </c>
      <c r="P10" s="25">
        <v>24</v>
      </c>
      <c r="Q10" s="18">
        <v>32</v>
      </c>
      <c r="R10" s="18">
        <v>4.7</v>
      </c>
      <c r="S10" s="33">
        <v>3</v>
      </c>
      <c r="T10" s="35">
        <v>24</v>
      </c>
      <c r="U10" s="18">
        <v>32</v>
      </c>
      <c r="V10" s="18">
        <v>3.39</v>
      </c>
      <c r="W10" s="33">
        <v>3</v>
      </c>
      <c r="X10" s="25">
        <v>12</v>
      </c>
      <c r="Y10" s="18">
        <v>30</v>
      </c>
      <c r="Z10" s="26">
        <v>15</v>
      </c>
      <c r="AA10" s="18"/>
      <c r="AB10" s="18">
        <v>3.5</v>
      </c>
      <c r="AC10" s="25">
        <v>1.29</v>
      </c>
      <c r="AD10" s="33">
        <v>104.79</v>
      </c>
      <c r="AE10" s="35">
        <v>1.29</v>
      </c>
      <c r="AF10" s="33">
        <v>104.91</v>
      </c>
      <c r="AG10" s="18"/>
      <c r="AH10" s="18"/>
      <c r="AI10" s="18"/>
      <c r="AJ10" s="18"/>
      <c r="AK10" s="19"/>
      <c r="AL10" s="18"/>
      <c r="AM10" s="18"/>
      <c r="AN10" s="18"/>
      <c r="AO10" s="18"/>
      <c r="AP10" s="18"/>
      <c r="AQ10" s="19"/>
      <c r="AR10" s="18"/>
      <c r="AS10" s="18"/>
      <c r="AT10" s="18"/>
      <c r="AU10" s="18"/>
      <c r="AV10" s="18"/>
      <c r="AW10" s="19"/>
      <c r="AX10" s="18"/>
      <c r="AY10" s="18"/>
      <c r="AZ10" s="18"/>
      <c r="BA10" s="18"/>
      <c r="BB10" s="18"/>
      <c r="BC10" s="19"/>
      <c r="BD10" s="19"/>
    </row>
    <row r="11" spans="1:56" s="14" customFormat="1" x14ac:dyDescent="0.25">
      <c r="A11" s="42">
        <v>4</v>
      </c>
      <c r="B11" s="43" t="s">
        <v>7</v>
      </c>
      <c r="C11" s="31">
        <v>32</v>
      </c>
      <c r="D11" s="18">
        <v>24</v>
      </c>
      <c r="E11" s="18">
        <v>26</v>
      </c>
      <c r="F11" s="18">
        <v>5.2</v>
      </c>
      <c r="G11" s="26">
        <v>4</v>
      </c>
      <c r="H11" s="25">
        <v>24</v>
      </c>
      <c r="I11" s="18">
        <v>26</v>
      </c>
      <c r="J11" s="18">
        <v>3.74</v>
      </c>
      <c r="K11" s="33">
        <v>4</v>
      </c>
      <c r="L11" s="35">
        <v>12</v>
      </c>
      <c r="M11" s="19">
        <v>30</v>
      </c>
      <c r="N11" s="33">
        <v>17</v>
      </c>
      <c r="O11" s="31">
        <v>32</v>
      </c>
      <c r="P11" s="25">
        <v>24</v>
      </c>
      <c r="Q11" s="18">
        <v>28</v>
      </c>
      <c r="R11" s="18">
        <v>5.2</v>
      </c>
      <c r="S11" s="33">
        <v>4</v>
      </c>
      <c r="T11" s="35">
        <v>24</v>
      </c>
      <c r="U11" s="18">
        <v>28</v>
      </c>
      <c r="V11" s="18">
        <v>3.75</v>
      </c>
      <c r="W11" s="33">
        <v>3</v>
      </c>
      <c r="X11" s="25">
        <v>12</v>
      </c>
      <c r="Y11" s="18">
        <v>30</v>
      </c>
      <c r="Z11" s="26">
        <v>17</v>
      </c>
      <c r="AA11" s="18"/>
      <c r="AB11" s="18">
        <v>4</v>
      </c>
      <c r="AC11" s="25">
        <v>1.54</v>
      </c>
      <c r="AD11" s="33">
        <v>116.33</v>
      </c>
      <c r="AE11" s="35">
        <v>1.54</v>
      </c>
      <c r="AF11" s="33">
        <v>116.44</v>
      </c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9"/>
      <c r="AR11" s="18"/>
      <c r="AS11" s="18"/>
      <c r="AT11" s="18"/>
      <c r="AU11" s="18"/>
      <c r="AV11" s="18"/>
      <c r="AW11" s="19"/>
      <c r="AX11" s="18"/>
      <c r="AY11" s="18"/>
      <c r="AZ11" s="18"/>
      <c r="BA11" s="18"/>
      <c r="BB11" s="18"/>
      <c r="BC11" s="19"/>
      <c r="BD11" s="19"/>
    </row>
    <row r="12" spans="1:56" s="14" customFormat="1" x14ac:dyDescent="0.25">
      <c r="A12" s="42">
        <v>4.5</v>
      </c>
      <c r="B12" s="43" t="s">
        <v>7</v>
      </c>
      <c r="C12" s="38">
        <v>35</v>
      </c>
      <c r="D12" s="18">
        <v>30</v>
      </c>
      <c r="E12" s="18">
        <v>36</v>
      </c>
      <c r="F12" s="18">
        <v>5.95</v>
      </c>
      <c r="G12" s="26">
        <v>3</v>
      </c>
      <c r="H12" s="25">
        <v>30</v>
      </c>
      <c r="I12" s="18">
        <v>36</v>
      </c>
      <c r="J12" s="18">
        <v>4.29</v>
      </c>
      <c r="K12" s="33">
        <v>3</v>
      </c>
      <c r="L12" s="35">
        <v>12</v>
      </c>
      <c r="M12" s="19">
        <v>30</v>
      </c>
      <c r="N12" s="33">
        <v>19</v>
      </c>
      <c r="O12" s="38">
        <v>33</v>
      </c>
      <c r="P12" s="25">
        <v>30</v>
      </c>
      <c r="Q12" s="18">
        <v>36</v>
      </c>
      <c r="R12" s="18">
        <v>5.95</v>
      </c>
      <c r="S12" s="33">
        <v>3</v>
      </c>
      <c r="T12" s="35">
        <v>30</v>
      </c>
      <c r="U12" s="18">
        <v>36</v>
      </c>
      <c r="V12" s="18">
        <v>4.3</v>
      </c>
      <c r="W12" s="33">
        <v>3</v>
      </c>
      <c r="X12" s="25">
        <v>12</v>
      </c>
      <c r="Y12" s="18">
        <v>30</v>
      </c>
      <c r="Z12" s="26">
        <v>19</v>
      </c>
      <c r="AA12" s="18"/>
      <c r="AB12" s="18">
        <v>4.5</v>
      </c>
      <c r="AC12" s="25">
        <v>1.75</v>
      </c>
      <c r="AD12" s="33">
        <v>197.5</v>
      </c>
      <c r="AE12" s="35">
        <v>1.75</v>
      </c>
      <c r="AF12" s="33">
        <v>197.67</v>
      </c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9"/>
      <c r="AR12" s="18"/>
      <c r="AS12" s="18"/>
      <c r="AT12" s="18"/>
      <c r="AU12" s="18"/>
      <c r="AV12" s="18"/>
      <c r="AW12" s="19"/>
      <c r="AX12" s="18"/>
      <c r="AY12" s="18"/>
      <c r="AZ12" s="18"/>
      <c r="BA12" s="18"/>
      <c r="BB12" s="18"/>
      <c r="BC12" s="19"/>
      <c r="BD12" s="19"/>
    </row>
    <row r="13" spans="1:56" s="14" customFormat="1" x14ac:dyDescent="0.25">
      <c r="A13" s="42">
        <v>5</v>
      </c>
      <c r="B13" s="43" t="s">
        <v>7</v>
      </c>
      <c r="C13" s="38">
        <v>38</v>
      </c>
      <c r="D13" s="18">
        <v>30</v>
      </c>
      <c r="E13" s="18">
        <v>32</v>
      </c>
      <c r="F13" s="18">
        <v>6.45</v>
      </c>
      <c r="G13" s="26">
        <v>3</v>
      </c>
      <c r="H13" s="25">
        <v>30</v>
      </c>
      <c r="I13" s="18">
        <v>32</v>
      </c>
      <c r="J13" s="18">
        <v>4.66</v>
      </c>
      <c r="K13" s="33">
        <v>3</v>
      </c>
      <c r="L13" s="35">
        <v>12</v>
      </c>
      <c r="M13" s="19">
        <v>30</v>
      </c>
      <c r="N13" s="33">
        <v>20</v>
      </c>
      <c r="O13" s="38">
        <v>39</v>
      </c>
      <c r="P13" s="25">
        <v>30</v>
      </c>
      <c r="Q13" s="18">
        <v>36</v>
      </c>
      <c r="R13" s="18">
        <v>6.45</v>
      </c>
      <c r="S13" s="33">
        <v>3</v>
      </c>
      <c r="T13" s="35">
        <v>30</v>
      </c>
      <c r="U13" s="18">
        <v>36</v>
      </c>
      <c r="V13" s="18">
        <v>4.67</v>
      </c>
      <c r="W13" s="33">
        <v>3</v>
      </c>
      <c r="X13" s="25">
        <v>12</v>
      </c>
      <c r="Y13" s="18">
        <v>30</v>
      </c>
      <c r="Z13" s="26">
        <v>20</v>
      </c>
      <c r="AA13" s="18"/>
      <c r="AB13" s="18">
        <v>5</v>
      </c>
      <c r="AC13" s="27">
        <v>2.0299999999999998</v>
      </c>
      <c r="AD13" s="34">
        <v>213.7</v>
      </c>
      <c r="AE13" s="36">
        <v>2.09</v>
      </c>
      <c r="AF13" s="34">
        <v>213.88</v>
      </c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9"/>
      <c r="AR13" s="18"/>
      <c r="AS13" s="18"/>
      <c r="AT13" s="18"/>
      <c r="AU13" s="18"/>
      <c r="AV13" s="18"/>
      <c r="AW13" s="19"/>
      <c r="AX13" s="18"/>
      <c r="AY13" s="18"/>
      <c r="AZ13" s="18"/>
      <c r="BA13" s="18"/>
      <c r="BB13" s="18"/>
      <c r="BC13" s="19"/>
      <c r="BD13" s="19"/>
    </row>
    <row r="14" spans="1:56" s="14" customFormat="1" x14ac:dyDescent="0.25">
      <c r="A14" s="44">
        <v>6</v>
      </c>
      <c r="B14" s="45" t="s">
        <v>7</v>
      </c>
      <c r="C14" s="39">
        <v>63</v>
      </c>
      <c r="D14" s="28">
        <v>30</v>
      </c>
      <c r="E14" s="28">
        <v>25</v>
      </c>
      <c r="F14" s="28">
        <v>6.45</v>
      </c>
      <c r="G14" s="29">
        <v>4</v>
      </c>
      <c r="H14" s="27">
        <v>30</v>
      </c>
      <c r="I14" s="28">
        <v>25</v>
      </c>
      <c r="J14" s="28">
        <v>4.66</v>
      </c>
      <c r="K14" s="34">
        <v>4</v>
      </c>
      <c r="L14" s="36">
        <v>12</v>
      </c>
      <c r="M14" s="37">
        <v>30</v>
      </c>
      <c r="N14" s="34">
        <v>20</v>
      </c>
      <c r="O14" s="39">
        <v>50</v>
      </c>
      <c r="P14" s="27">
        <v>30</v>
      </c>
      <c r="Q14" s="28">
        <v>25</v>
      </c>
      <c r="R14" s="28">
        <v>6.45</v>
      </c>
      <c r="S14" s="34">
        <v>4</v>
      </c>
      <c r="T14" s="36">
        <v>30</v>
      </c>
      <c r="U14" s="28">
        <v>25</v>
      </c>
      <c r="V14" s="28">
        <v>4.67</v>
      </c>
      <c r="W14" s="34">
        <v>4</v>
      </c>
      <c r="X14" s="27">
        <v>12</v>
      </c>
      <c r="Y14" s="28">
        <v>30</v>
      </c>
      <c r="Z14" s="29">
        <v>20</v>
      </c>
      <c r="AA14" s="18"/>
      <c r="AB14" s="18"/>
      <c r="AC14" s="18"/>
      <c r="AD14" s="18"/>
      <c r="AE14" s="19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9"/>
      <c r="AX14" s="18"/>
      <c r="AY14" s="18"/>
      <c r="AZ14" s="18"/>
      <c r="BA14" s="18"/>
      <c r="BB14" s="18"/>
      <c r="BC14" s="19"/>
      <c r="BD14" s="19"/>
    </row>
    <row r="15" spans="1:56" s="14" customFormat="1" x14ac:dyDescent="0.25">
      <c r="A15" s="17"/>
      <c r="B15" s="24"/>
      <c r="C15" s="18"/>
      <c r="D15" s="18"/>
      <c r="E15" s="18"/>
      <c r="F15" s="18"/>
      <c r="G15" s="19"/>
      <c r="H15" s="18"/>
      <c r="I15" s="18"/>
      <c r="J15" s="18"/>
      <c r="K15" s="18"/>
      <c r="L15" s="19"/>
      <c r="M15" s="19"/>
      <c r="N15" s="18"/>
      <c r="O15" s="18"/>
      <c r="P15" s="18"/>
      <c r="Q15" s="18"/>
      <c r="R15" s="18"/>
      <c r="S15" s="19"/>
      <c r="T15" s="18"/>
      <c r="U15" s="18"/>
      <c r="V15" s="18"/>
      <c r="W15" s="18"/>
      <c r="X15" s="18"/>
      <c r="Y15" s="19"/>
      <c r="Z15" s="18"/>
      <c r="AA15" s="18"/>
      <c r="AB15" s="18"/>
      <c r="AC15" s="18"/>
      <c r="AD15" s="18"/>
      <c r="AE15" s="19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9"/>
      <c r="AR15" s="18"/>
      <c r="AS15" s="18"/>
      <c r="AT15" s="18"/>
      <c r="AU15" s="18"/>
      <c r="AV15" s="18"/>
      <c r="AW15" s="19"/>
      <c r="AX15" s="18"/>
      <c r="AY15" s="18"/>
      <c r="AZ15" s="18"/>
      <c r="BA15" s="18"/>
      <c r="BB15" s="18"/>
      <c r="BC15" s="19"/>
      <c r="BD15" s="19"/>
    </row>
    <row r="16" spans="1:56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</row>
    <row r="17" spans="1:56" x14ac:dyDescent="0.25">
      <c r="B17" s="2"/>
      <c r="C17" s="2"/>
      <c r="D17" s="3"/>
      <c r="E17" s="3"/>
      <c r="F17" s="3"/>
      <c r="G17" s="2"/>
      <c r="H17" s="2"/>
      <c r="I17" s="2"/>
      <c r="J17" s="2"/>
      <c r="K17" s="2"/>
      <c r="L17" s="3"/>
      <c r="M17" s="4"/>
      <c r="N17" s="3"/>
      <c r="O17" s="3"/>
      <c r="P17" s="3"/>
      <c r="Q17" s="3"/>
      <c r="R17" s="3"/>
      <c r="S17" s="4"/>
      <c r="T17" s="3"/>
      <c r="U17" s="3"/>
      <c r="V17" s="3"/>
      <c r="W17" s="3"/>
      <c r="X17" s="3"/>
      <c r="Y17" s="4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5"/>
      <c r="AX17" s="3"/>
      <c r="AY17" s="3"/>
      <c r="AZ17" s="3"/>
      <c r="BA17" s="3"/>
      <c r="BB17" s="3"/>
      <c r="BC17" s="3"/>
      <c r="BD17" s="6"/>
    </row>
    <row r="18" spans="1:56" x14ac:dyDescent="0.25">
      <c r="B18" s="2"/>
      <c r="C18" s="2"/>
      <c r="D18" s="2"/>
      <c r="E18" s="2"/>
      <c r="F18" s="2"/>
      <c r="G18" s="69" t="s">
        <v>83</v>
      </c>
      <c r="H18" s="2"/>
      <c r="I18" s="2"/>
      <c r="J18" s="2"/>
      <c r="K18" s="2"/>
      <c r="L18" s="3"/>
      <c r="M18" s="4"/>
      <c r="N18" s="3"/>
      <c r="O18" s="3"/>
      <c r="P18" s="3"/>
      <c r="Q18" s="3"/>
      <c r="R18" s="5"/>
      <c r="S18" s="4"/>
      <c r="T18" s="3"/>
      <c r="U18" s="3"/>
      <c r="V18" s="3"/>
      <c r="W18" s="3"/>
      <c r="X18" s="3"/>
      <c r="Y18" s="4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6"/>
    </row>
    <row r="19" spans="1:56" ht="15" customHeight="1" x14ac:dyDescent="0.25">
      <c r="A19" s="6"/>
      <c r="B19" s="6"/>
      <c r="C19" s="6"/>
      <c r="D19" s="6"/>
      <c r="E19" s="72" t="s">
        <v>85</v>
      </c>
      <c r="F19" s="72" t="s">
        <v>85</v>
      </c>
      <c r="G19" s="70" t="s">
        <v>82</v>
      </c>
      <c r="I19" s="83" t="s">
        <v>84</v>
      </c>
      <c r="J19" s="69" t="s">
        <v>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x14ac:dyDescent="0.25">
      <c r="A20" s="7"/>
      <c r="B20" s="7"/>
      <c r="C20" s="7"/>
      <c r="D20" s="7"/>
      <c r="E20" s="8" t="s">
        <v>0</v>
      </c>
      <c r="F20" s="72" t="s">
        <v>1</v>
      </c>
      <c r="G20" s="72" t="s">
        <v>85</v>
      </c>
      <c r="I20" s="84" t="s">
        <v>86</v>
      </c>
      <c r="J20" s="85" t="s">
        <v>3</v>
      </c>
      <c r="K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56" x14ac:dyDescent="0.25">
      <c r="A21" s="10"/>
      <c r="B21" s="7"/>
      <c r="C21" s="7"/>
      <c r="D21" s="7"/>
      <c r="E21" s="80">
        <f>[1]SLB_CU!$B$8</f>
        <v>1.649569805019155</v>
      </c>
      <c r="F21" s="11">
        <f>MROUND([1]SLB_CU!$D$5,1)</f>
        <v>1</v>
      </c>
      <c r="G21" s="89">
        <f>IF(E21&lt;1,INDEX($C$5:$C$14,MATCH(F21,$A$5:$A$14,0),1),IF(AND(E21&lt;2,E21&gt;1),INDEX($O$5:$O$14,MATCH(F21,$A$5:$A$14,0),1)))/100</f>
        <v>0.2</v>
      </c>
      <c r="I21" s="81">
        <f>IF(E21&lt;1,INDEX($AC$5:$AC$13,MATCH(F21,$AB$5:$AB$13,0),1),IF(AND(E21&gt;1,E21&lt;2),INDEX($AE$5:$AE$13,MATCH(F21,$AB$5:$AB$13,0),1)))</f>
        <v>0.36</v>
      </c>
      <c r="J21" s="81">
        <f>IF(E21&lt;1,INDEX($AD$5:$AD$13,MATCH(F21,$AB$5:$AB$13,0),1),IF(AND(E21&lt;2,E21&gt;1),INDEX($AF$5:$AF$13,MATCH(F21,$AB$5:$AB$13,0),1)))</f>
        <v>22.58</v>
      </c>
      <c r="K21" s="7"/>
      <c r="M21"/>
      <c r="N21" s="7"/>
      <c r="O21" s="7"/>
      <c r="P21" s="7"/>
      <c r="Q21" s="7"/>
      <c r="R21" s="7"/>
      <c r="S21" s="7"/>
      <c r="T21" s="7"/>
      <c r="U21" s="7"/>
      <c r="V21" s="10"/>
    </row>
    <row r="22" spans="1:56" x14ac:dyDescent="0.25">
      <c r="A22" s="10"/>
      <c r="B22" s="10"/>
      <c r="C22" s="12"/>
      <c r="D22" s="7"/>
      <c r="E22"/>
      <c r="F22"/>
      <c r="G22"/>
      <c r="H22"/>
      <c r="I22"/>
      <c r="J22"/>
      <c r="K22" s="12"/>
      <c r="M22"/>
      <c r="N22" s="10"/>
      <c r="O22" s="12"/>
      <c r="P22" s="10"/>
      <c r="Q22" s="12"/>
      <c r="R22" s="10"/>
      <c r="S22" s="12"/>
      <c r="T22" s="10"/>
      <c r="U22" s="12"/>
      <c r="V22" s="10"/>
    </row>
    <row r="23" spans="1:56" x14ac:dyDescent="0.25">
      <c r="A23" s="13"/>
      <c r="B23" s="6"/>
      <c r="C23" s="6"/>
      <c r="D23" s="6"/>
      <c r="E23" s="6"/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56" x14ac:dyDescent="0.25">
      <c r="A24" s="13"/>
      <c r="B24" s="6"/>
      <c r="C24" s="6"/>
      <c r="D24" s="6"/>
      <c r="E24" s="6"/>
      <c r="F24" s="6"/>
      <c r="G24" s="6"/>
      <c r="H24" s="6"/>
      <c r="I24" s="6"/>
      <c r="J24" s="6"/>
      <c r="K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56" s="22" customFormat="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M25" s="21"/>
      <c r="N25" s="21"/>
      <c r="O25" s="21"/>
      <c r="P25" s="21"/>
      <c r="Q25" s="21"/>
      <c r="R25" s="21"/>
      <c r="S25" s="21"/>
      <c r="T25" s="21"/>
      <c r="U25" s="21"/>
      <c r="V25" s="21"/>
    </row>
    <row r="26" spans="1:56" s="14" customFormat="1" ht="15.75" x14ac:dyDescent="0.25">
      <c r="A26" s="91" t="s">
        <v>4</v>
      </c>
      <c r="B26" s="92"/>
      <c r="C26" s="92"/>
      <c r="D26" s="18"/>
      <c r="E26" s="18"/>
      <c r="F26" s="18"/>
      <c r="G26" s="19"/>
      <c r="H26" s="18"/>
      <c r="I26" s="18" t="s">
        <v>17</v>
      </c>
      <c r="J26" s="18"/>
      <c r="K26" s="18"/>
      <c r="L26" s="19"/>
      <c r="M26" s="19"/>
      <c r="N26" s="18"/>
      <c r="O26" s="18"/>
      <c r="P26" s="18"/>
      <c r="Q26" s="18"/>
      <c r="R26" s="18"/>
      <c r="S26" s="19"/>
      <c r="T26" s="18"/>
      <c r="U26" s="18"/>
      <c r="V26" s="18"/>
      <c r="W26" s="18"/>
      <c r="X26" s="18"/>
      <c r="Y26" s="19"/>
      <c r="Z26" s="18"/>
      <c r="AA26" s="18"/>
      <c r="AB26" s="18"/>
      <c r="AC26" s="18"/>
      <c r="AD26" s="18"/>
      <c r="AE26" s="19"/>
      <c r="AF26" s="18"/>
      <c r="AG26" s="18"/>
      <c r="AH26" s="18"/>
      <c r="AI26" s="18"/>
      <c r="AJ26" s="18"/>
      <c r="AK26" s="19"/>
      <c r="AL26" s="18"/>
      <c r="AM26" s="18"/>
      <c r="AN26" s="18"/>
      <c r="AO26" s="18"/>
      <c r="AP26" s="18"/>
      <c r="AQ26" s="19"/>
      <c r="AR26" s="18"/>
      <c r="AS26" s="18"/>
      <c r="AT26" s="18"/>
      <c r="AU26" s="18"/>
      <c r="AV26" s="18"/>
      <c r="AW26" s="19"/>
      <c r="AX26" s="18"/>
      <c r="AY26" s="18"/>
      <c r="AZ26" s="18"/>
      <c r="BA26" s="18"/>
      <c r="BB26" s="18"/>
      <c r="BC26" s="19"/>
      <c r="BD26" s="19"/>
    </row>
    <row r="27" spans="1:56" s="14" customFormat="1" x14ac:dyDescent="0.25">
      <c r="A27" s="17"/>
      <c r="B27" s="18"/>
      <c r="C27" s="18"/>
      <c r="D27" s="18"/>
      <c r="E27" s="18"/>
      <c r="F27" s="18"/>
      <c r="G27" s="19"/>
      <c r="H27" s="18"/>
      <c r="I27" s="18"/>
      <c r="J27" s="18"/>
      <c r="K27" s="47" t="s">
        <v>27</v>
      </c>
      <c r="L27" s="16">
        <v>1</v>
      </c>
      <c r="M27" s="16">
        <v>2</v>
      </c>
      <c r="N27" s="16">
        <v>3</v>
      </c>
      <c r="O27" s="16">
        <v>1</v>
      </c>
      <c r="P27" s="16">
        <v>2</v>
      </c>
      <c r="Q27" s="16">
        <v>3</v>
      </c>
      <c r="R27" s="18"/>
      <c r="S27" s="19"/>
      <c r="T27" s="18"/>
      <c r="U27" s="18"/>
      <c r="V27" s="18"/>
      <c r="W27" s="18"/>
      <c r="X27" s="18"/>
      <c r="Y27" s="19"/>
      <c r="Z27" s="18"/>
      <c r="AA27" s="18"/>
      <c r="AB27" s="18"/>
      <c r="AC27" s="18"/>
      <c r="AD27" s="18"/>
      <c r="AE27" s="19"/>
      <c r="AF27" s="18"/>
      <c r="AG27" s="18"/>
      <c r="AH27" s="18"/>
      <c r="AI27" s="18"/>
      <c r="AJ27" s="18"/>
      <c r="AK27" s="19"/>
      <c r="AL27" s="18"/>
      <c r="AM27" s="18"/>
      <c r="AN27" s="18"/>
      <c r="AO27" s="18"/>
      <c r="AP27" s="18"/>
      <c r="AQ27" s="19"/>
      <c r="AR27" s="18"/>
      <c r="AS27" s="18"/>
      <c r="AT27" s="18"/>
      <c r="AU27" s="18"/>
      <c r="AV27" s="18"/>
      <c r="AW27" s="19"/>
      <c r="AX27" s="18"/>
      <c r="AY27" s="18"/>
      <c r="AZ27" s="18"/>
      <c r="BA27" s="18"/>
      <c r="BB27" s="18"/>
      <c r="BC27" s="19"/>
      <c r="BD27" s="19"/>
    </row>
    <row r="28" spans="1:56" s="14" customFormat="1" x14ac:dyDescent="0.25">
      <c r="A28" s="17"/>
      <c r="B28" s="111" t="s">
        <v>22</v>
      </c>
      <c r="C28" s="112"/>
      <c r="D28" s="112"/>
      <c r="E28" s="111" t="s">
        <v>23</v>
      </c>
      <c r="F28" s="112"/>
      <c r="G28" s="112"/>
      <c r="H28" s="111" t="s">
        <v>25</v>
      </c>
      <c r="I28" s="112"/>
      <c r="J28" s="112"/>
      <c r="K28" s="47" t="s">
        <v>92</v>
      </c>
      <c r="L28" s="108" t="s">
        <v>25</v>
      </c>
      <c r="M28" s="108" t="s">
        <v>25</v>
      </c>
      <c r="N28" s="108" t="s">
        <v>25</v>
      </c>
      <c r="O28" s="59" t="s">
        <v>94</v>
      </c>
      <c r="P28" s="60" t="s">
        <v>94</v>
      </c>
      <c r="Q28" s="41" t="s">
        <v>94</v>
      </c>
      <c r="R28" s="18"/>
      <c r="S28" s="19"/>
      <c r="T28" s="18"/>
      <c r="U28" s="18"/>
      <c r="V28" s="18"/>
      <c r="W28" s="18"/>
      <c r="X28" s="18"/>
      <c r="Y28" s="19"/>
      <c r="Z28" s="18"/>
      <c r="AA28" s="18"/>
      <c r="AB28" s="18"/>
      <c r="AC28" s="18"/>
      <c r="AD28" s="18"/>
      <c r="AE28" s="19"/>
      <c r="AF28" s="18"/>
      <c r="AG28" s="18"/>
      <c r="AH28" s="18"/>
      <c r="AI28" s="18"/>
      <c r="AJ28" s="18"/>
      <c r="AK28" s="19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9"/>
      <c r="AX28" s="18"/>
      <c r="AY28" s="18"/>
      <c r="AZ28" s="18"/>
      <c r="BA28" s="18"/>
      <c r="BB28" s="18"/>
      <c r="BC28" s="19"/>
      <c r="BD28" s="19"/>
    </row>
    <row r="29" spans="1:56" s="14" customFormat="1" x14ac:dyDescent="0.25">
      <c r="A29" s="54" t="s">
        <v>18</v>
      </c>
      <c r="B29" s="25" t="s">
        <v>19</v>
      </c>
      <c r="C29" s="18" t="s">
        <v>20</v>
      </c>
      <c r="D29" s="33" t="s">
        <v>21</v>
      </c>
      <c r="E29" s="25" t="s">
        <v>19</v>
      </c>
      <c r="F29" s="18" t="s">
        <v>20</v>
      </c>
      <c r="G29" s="26" t="s">
        <v>21</v>
      </c>
      <c r="H29" s="25" t="s">
        <v>19</v>
      </c>
      <c r="I29" s="18" t="s">
        <v>24</v>
      </c>
      <c r="J29" s="33" t="s">
        <v>21</v>
      </c>
      <c r="K29" s="31" t="s">
        <v>26</v>
      </c>
      <c r="L29" s="48" t="s">
        <v>20</v>
      </c>
      <c r="M29" s="49" t="s">
        <v>20</v>
      </c>
      <c r="N29" s="50" t="s">
        <v>20</v>
      </c>
      <c r="O29" s="25" t="s">
        <v>93</v>
      </c>
      <c r="P29" s="18" t="s">
        <v>93</v>
      </c>
      <c r="Q29" s="33" t="s">
        <v>93</v>
      </c>
      <c r="R29" s="18"/>
      <c r="S29" s="19"/>
      <c r="T29" s="18"/>
      <c r="U29" s="18"/>
      <c r="V29" s="18"/>
      <c r="W29" s="18"/>
      <c r="X29" s="18"/>
      <c r="Y29" s="19"/>
      <c r="Z29" s="18"/>
      <c r="AA29" s="18"/>
      <c r="AB29" s="18"/>
      <c r="AC29" s="18"/>
      <c r="AD29" s="18"/>
      <c r="AE29" s="19"/>
      <c r="AF29" s="18"/>
      <c r="AG29" s="18"/>
      <c r="AH29" s="18"/>
      <c r="AI29" s="18"/>
      <c r="AJ29" s="18"/>
      <c r="AK29" s="19"/>
      <c r="AL29" s="18"/>
      <c r="AM29" s="18"/>
      <c r="AN29" s="18"/>
      <c r="AO29" s="18"/>
      <c r="AP29" s="18"/>
      <c r="AQ29" s="19"/>
      <c r="AR29" s="18"/>
      <c r="AS29" s="18"/>
      <c r="AT29" s="18"/>
      <c r="AU29" s="18"/>
      <c r="AV29" s="18"/>
      <c r="AW29" s="19"/>
      <c r="AX29" s="18"/>
      <c r="AY29" s="18"/>
      <c r="AZ29" s="18"/>
      <c r="BA29" s="18"/>
      <c r="BB29" s="18"/>
      <c r="BC29" s="19"/>
      <c r="BD29" s="19"/>
    </row>
    <row r="30" spans="1:56" s="14" customFormat="1" x14ac:dyDescent="0.25">
      <c r="A30" s="51">
        <v>1</v>
      </c>
      <c r="B30" s="25">
        <v>16</v>
      </c>
      <c r="C30" s="18">
        <v>1.7</v>
      </c>
      <c r="D30" s="33">
        <v>4</v>
      </c>
      <c r="E30" s="25">
        <v>16</v>
      </c>
      <c r="F30" s="18">
        <v>1.7</v>
      </c>
      <c r="G30" s="26">
        <v>4</v>
      </c>
      <c r="H30" s="25">
        <v>12</v>
      </c>
      <c r="I30" s="18">
        <v>30</v>
      </c>
      <c r="J30" s="33">
        <v>14</v>
      </c>
      <c r="K30" s="31">
        <v>0.16</v>
      </c>
      <c r="L30" s="35">
        <v>1.25</v>
      </c>
      <c r="M30" s="19">
        <v>1.25</v>
      </c>
      <c r="N30" s="26">
        <v>1.25</v>
      </c>
      <c r="O30" s="25">
        <v>37.04</v>
      </c>
      <c r="P30" s="18">
        <v>37.04</v>
      </c>
      <c r="Q30" s="33">
        <v>37.04</v>
      </c>
      <c r="R30" s="18"/>
      <c r="S30" s="19"/>
      <c r="T30" s="18"/>
      <c r="U30" s="18"/>
      <c r="V30" s="18"/>
      <c r="W30" s="18"/>
      <c r="X30" s="18"/>
      <c r="Y30" s="19"/>
      <c r="Z30" s="18"/>
      <c r="AA30" s="18"/>
      <c r="AB30" s="18"/>
      <c r="AC30" s="18"/>
      <c r="AD30" s="18"/>
      <c r="AE30" s="19"/>
      <c r="AF30" s="18"/>
      <c r="AG30" s="18"/>
      <c r="AH30" s="18"/>
      <c r="AI30" s="18"/>
      <c r="AJ30" s="18"/>
      <c r="AK30" s="19"/>
      <c r="AL30" s="18"/>
      <c r="AM30" s="18"/>
      <c r="AN30" s="18"/>
      <c r="AO30" s="18"/>
      <c r="AP30" s="18"/>
      <c r="AQ30" s="19"/>
      <c r="AR30" s="18"/>
      <c r="AS30" s="18"/>
      <c r="AT30" s="18"/>
      <c r="AU30" s="18"/>
      <c r="AV30" s="18"/>
      <c r="AW30" s="19"/>
      <c r="AX30" s="18"/>
      <c r="AY30" s="18"/>
      <c r="AZ30" s="18"/>
      <c r="BA30" s="18"/>
      <c r="BB30" s="18"/>
      <c r="BC30" s="19"/>
      <c r="BD30" s="19"/>
    </row>
    <row r="31" spans="1:56" s="14" customFormat="1" x14ac:dyDescent="0.25">
      <c r="A31" s="52">
        <v>1.5</v>
      </c>
      <c r="B31" s="25">
        <v>16</v>
      </c>
      <c r="C31" s="18">
        <v>2.2000000000000002</v>
      </c>
      <c r="D31" s="33">
        <v>4</v>
      </c>
      <c r="E31" s="25">
        <v>16</v>
      </c>
      <c r="F31" s="18">
        <v>2.2000000000000002</v>
      </c>
      <c r="G31" s="26">
        <v>4</v>
      </c>
      <c r="H31" s="25">
        <v>12</v>
      </c>
      <c r="I31" s="18">
        <v>30</v>
      </c>
      <c r="J31" s="33">
        <v>18</v>
      </c>
      <c r="K31" s="31">
        <v>0.2</v>
      </c>
      <c r="L31" s="35">
        <v>1.31</v>
      </c>
      <c r="M31" s="19">
        <v>1.31</v>
      </c>
      <c r="N31" s="26">
        <v>1.31</v>
      </c>
      <c r="O31" s="25">
        <v>48.76</v>
      </c>
      <c r="P31" s="18">
        <v>48.76</v>
      </c>
      <c r="Q31" s="33">
        <v>48.76</v>
      </c>
      <c r="R31" s="18"/>
      <c r="S31" s="19"/>
      <c r="T31" s="18"/>
      <c r="U31" s="18"/>
      <c r="V31" s="18"/>
      <c r="W31" s="18"/>
      <c r="X31" s="18"/>
      <c r="Y31" s="19"/>
      <c r="Z31" s="18"/>
      <c r="AA31" s="18"/>
      <c r="AB31" s="18"/>
      <c r="AC31" s="18"/>
      <c r="AD31" s="18"/>
      <c r="AE31" s="19"/>
      <c r="AF31" s="18"/>
      <c r="AG31" s="18"/>
      <c r="AH31" s="18"/>
      <c r="AI31" s="18"/>
      <c r="AJ31" s="18"/>
      <c r="AK31" s="19"/>
      <c r="AL31" s="18"/>
      <c r="AM31" s="18"/>
      <c r="AN31" s="18"/>
      <c r="AO31" s="18"/>
      <c r="AP31" s="18"/>
      <c r="AQ31" s="19"/>
      <c r="AR31" s="18"/>
      <c r="AS31" s="18"/>
      <c r="AT31" s="18"/>
      <c r="AU31" s="18"/>
      <c r="AV31" s="18"/>
      <c r="AW31" s="19"/>
      <c r="AX31" s="18"/>
      <c r="AY31" s="18"/>
      <c r="AZ31" s="18"/>
      <c r="BA31" s="18"/>
      <c r="BB31" s="18"/>
      <c r="BC31" s="19"/>
      <c r="BD31" s="19"/>
    </row>
    <row r="32" spans="1:56" s="14" customFormat="1" x14ac:dyDescent="0.25">
      <c r="A32" s="52">
        <v>2</v>
      </c>
      <c r="B32" s="25">
        <v>16</v>
      </c>
      <c r="C32" s="18">
        <v>2.7</v>
      </c>
      <c r="D32" s="33">
        <v>4</v>
      </c>
      <c r="E32" s="25">
        <v>16</v>
      </c>
      <c r="F32" s="18">
        <v>2.7</v>
      </c>
      <c r="G32" s="26">
        <v>4</v>
      </c>
      <c r="H32" s="25">
        <v>12</v>
      </c>
      <c r="I32" s="18">
        <v>30</v>
      </c>
      <c r="J32" s="33">
        <v>20</v>
      </c>
      <c r="K32" s="31">
        <v>0.26</v>
      </c>
      <c r="L32" s="35">
        <v>1.33</v>
      </c>
      <c r="M32" s="19">
        <v>1.33</v>
      </c>
      <c r="N32" s="26">
        <v>1.33</v>
      </c>
      <c r="O32" s="25">
        <v>57.77</v>
      </c>
      <c r="P32" s="18">
        <v>57.77</v>
      </c>
      <c r="Q32" s="33">
        <v>58.48</v>
      </c>
      <c r="R32" s="18"/>
      <c r="S32" s="19"/>
      <c r="T32" s="18"/>
      <c r="U32" s="18"/>
      <c r="V32" s="18"/>
      <c r="W32" s="18"/>
      <c r="X32" s="18"/>
      <c r="Y32" s="19"/>
      <c r="Z32" s="18"/>
      <c r="AA32" s="18"/>
      <c r="AB32" s="18"/>
      <c r="AC32" s="18"/>
      <c r="AD32" s="18"/>
      <c r="AE32" s="19"/>
      <c r="AF32" s="18"/>
      <c r="AG32" s="18"/>
      <c r="AH32" s="18"/>
      <c r="AI32" s="18"/>
      <c r="AJ32" s="18"/>
      <c r="AK32" s="19"/>
      <c r="AL32" s="18"/>
      <c r="AM32" s="18"/>
      <c r="AN32" s="18"/>
      <c r="AO32" s="18"/>
      <c r="AP32" s="18"/>
      <c r="AQ32" s="19"/>
      <c r="AR32" s="18"/>
      <c r="AS32" s="18"/>
      <c r="AT32" s="18"/>
      <c r="AU32" s="18"/>
      <c r="AV32" s="18"/>
      <c r="AW32" s="19"/>
      <c r="AX32" s="18"/>
      <c r="AY32" s="18"/>
      <c r="AZ32" s="18"/>
      <c r="BA32" s="18"/>
      <c r="BB32" s="18"/>
      <c r="BC32" s="19"/>
      <c r="BD32" s="19"/>
    </row>
    <row r="33" spans="1:56" s="14" customFormat="1" x14ac:dyDescent="0.25">
      <c r="A33" s="52">
        <v>2.5</v>
      </c>
      <c r="B33" s="25">
        <v>16</v>
      </c>
      <c r="C33" s="18">
        <v>3.2</v>
      </c>
      <c r="D33" s="33">
        <v>4</v>
      </c>
      <c r="E33" s="25">
        <v>16</v>
      </c>
      <c r="F33" s="18">
        <v>3.2</v>
      </c>
      <c r="G33" s="26">
        <v>4</v>
      </c>
      <c r="H33" s="25">
        <v>12</v>
      </c>
      <c r="I33" s="18">
        <v>30</v>
      </c>
      <c r="J33" s="33">
        <v>24</v>
      </c>
      <c r="K33" s="31">
        <v>0.3</v>
      </c>
      <c r="L33" s="35">
        <v>1.37</v>
      </c>
      <c r="M33" s="19">
        <v>1.37</v>
      </c>
      <c r="N33" s="26">
        <v>1.37</v>
      </c>
      <c r="O33" s="25">
        <v>69.67</v>
      </c>
      <c r="P33" s="18">
        <v>69.67</v>
      </c>
      <c r="Q33" s="33">
        <v>70.52</v>
      </c>
      <c r="R33" s="18"/>
      <c r="S33" s="19"/>
      <c r="T33" s="18"/>
      <c r="U33" s="18"/>
      <c r="V33" s="18"/>
      <c r="W33" s="18"/>
      <c r="X33" s="18"/>
      <c r="Y33" s="19"/>
      <c r="Z33" s="18"/>
      <c r="AA33" s="18"/>
      <c r="AB33" s="18"/>
      <c r="AC33" s="18"/>
      <c r="AD33" s="18"/>
      <c r="AE33" s="19"/>
      <c r="AF33" s="18"/>
      <c r="AG33" s="18"/>
      <c r="AH33" s="18"/>
      <c r="AI33" s="18"/>
      <c r="AJ33" s="18"/>
      <c r="AK33" s="19"/>
      <c r="AL33" s="18"/>
      <c r="AM33" s="18"/>
      <c r="AN33" s="18"/>
      <c r="AO33" s="18"/>
      <c r="AP33" s="18"/>
      <c r="AQ33" s="19"/>
      <c r="AR33" s="18"/>
      <c r="AS33" s="18"/>
      <c r="AT33" s="18"/>
      <c r="AU33" s="18"/>
      <c r="AV33" s="18"/>
      <c r="AW33" s="19"/>
      <c r="AX33" s="18"/>
      <c r="AY33" s="18"/>
      <c r="AZ33" s="18"/>
      <c r="BA33" s="18"/>
      <c r="BB33" s="18"/>
      <c r="BC33" s="19"/>
      <c r="BD33" s="19"/>
    </row>
    <row r="34" spans="1:56" s="14" customFormat="1" x14ac:dyDescent="0.25">
      <c r="A34" s="52">
        <v>3</v>
      </c>
      <c r="B34" s="25">
        <v>16</v>
      </c>
      <c r="C34" s="18">
        <v>3.7</v>
      </c>
      <c r="D34" s="33">
        <v>4</v>
      </c>
      <c r="E34" s="25">
        <v>16</v>
      </c>
      <c r="F34" s="18">
        <v>3.7</v>
      </c>
      <c r="G34" s="26">
        <v>4</v>
      </c>
      <c r="H34" s="25">
        <v>12</v>
      </c>
      <c r="I34" s="18">
        <v>30</v>
      </c>
      <c r="J34" s="33">
        <v>28</v>
      </c>
      <c r="K34" s="31">
        <v>0.34</v>
      </c>
      <c r="L34" s="35">
        <v>1.41</v>
      </c>
      <c r="M34" s="19">
        <v>1.41</v>
      </c>
      <c r="N34" s="26">
        <v>1.41</v>
      </c>
      <c r="O34" s="25">
        <v>81.86</v>
      </c>
      <c r="P34" s="18">
        <v>82.85</v>
      </c>
      <c r="Q34" s="33">
        <v>83.35</v>
      </c>
      <c r="R34" s="18"/>
      <c r="S34" s="19"/>
      <c r="T34" s="18"/>
      <c r="U34" s="18"/>
      <c r="V34" s="18"/>
      <c r="W34" s="18"/>
      <c r="X34" s="18"/>
      <c r="Y34" s="19"/>
      <c r="Z34" s="18"/>
      <c r="AA34" s="18"/>
      <c r="AB34" s="18"/>
      <c r="AC34" s="18"/>
      <c r="AD34" s="18"/>
      <c r="AE34" s="19"/>
      <c r="AF34" s="18"/>
      <c r="AG34" s="18"/>
      <c r="AH34" s="18"/>
      <c r="AI34" s="18"/>
      <c r="AJ34" s="18"/>
      <c r="AK34" s="19"/>
      <c r="AL34" s="18"/>
      <c r="AM34" s="18"/>
      <c r="AN34" s="18"/>
      <c r="AO34" s="18"/>
      <c r="AP34" s="18"/>
      <c r="AQ34" s="19"/>
      <c r="AR34" s="18"/>
      <c r="AS34" s="18"/>
      <c r="AT34" s="18"/>
      <c r="AU34" s="18"/>
      <c r="AV34" s="18"/>
      <c r="AW34" s="19"/>
      <c r="AX34" s="18"/>
      <c r="AY34" s="18"/>
      <c r="AZ34" s="18"/>
      <c r="BA34" s="18"/>
      <c r="BB34" s="18"/>
      <c r="BC34" s="19"/>
      <c r="BD34" s="19"/>
    </row>
    <row r="35" spans="1:56" s="14" customFormat="1" x14ac:dyDescent="0.25">
      <c r="A35" s="52">
        <v>3.5</v>
      </c>
      <c r="B35" s="25">
        <v>16</v>
      </c>
      <c r="C35" s="18">
        <v>4.2</v>
      </c>
      <c r="D35" s="33">
        <v>4</v>
      </c>
      <c r="E35" s="25">
        <v>16</v>
      </c>
      <c r="F35" s="18">
        <v>4.2</v>
      </c>
      <c r="G35" s="26">
        <v>4</v>
      </c>
      <c r="H35" s="25">
        <v>12</v>
      </c>
      <c r="I35" s="18">
        <v>30</v>
      </c>
      <c r="J35" s="33">
        <v>30</v>
      </c>
      <c r="K35" s="31">
        <v>0.38</v>
      </c>
      <c r="L35" s="35">
        <v>1.45</v>
      </c>
      <c r="M35" s="19">
        <v>1.45</v>
      </c>
      <c r="N35" s="26">
        <v>1.45</v>
      </c>
      <c r="O35" s="25">
        <v>91.75</v>
      </c>
      <c r="P35" s="18">
        <v>92.82</v>
      </c>
      <c r="Q35" s="33">
        <v>93.35</v>
      </c>
      <c r="R35" s="18"/>
      <c r="S35" s="19"/>
      <c r="T35" s="18"/>
      <c r="U35" s="18"/>
      <c r="V35" s="18"/>
      <c r="W35" s="18"/>
      <c r="X35" s="18"/>
      <c r="Y35" s="19"/>
      <c r="Z35" s="18"/>
      <c r="AA35" s="18"/>
      <c r="AB35" s="18"/>
      <c r="AC35" s="18"/>
      <c r="AD35" s="18"/>
      <c r="AE35" s="19"/>
      <c r="AF35" s="18"/>
      <c r="AG35" s="18"/>
      <c r="AH35" s="18"/>
      <c r="AI35" s="18"/>
      <c r="AJ35" s="18"/>
      <c r="AK35" s="19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9"/>
      <c r="AX35" s="18"/>
      <c r="AY35" s="18"/>
      <c r="AZ35" s="18"/>
      <c r="BA35" s="18"/>
      <c r="BB35" s="18"/>
      <c r="BC35" s="19"/>
      <c r="BD35" s="19"/>
    </row>
    <row r="36" spans="1:56" s="14" customFormat="1" x14ac:dyDescent="0.25">
      <c r="A36" s="52">
        <v>4</v>
      </c>
      <c r="B36" s="25">
        <v>16</v>
      </c>
      <c r="C36" s="18">
        <v>4.7</v>
      </c>
      <c r="D36" s="33">
        <v>4</v>
      </c>
      <c r="E36" s="25">
        <v>16</v>
      </c>
      <c r="F36" s="18">
        <v>4.7</v>
      </c>
      <c r="G36" s="26">
        <v>4</v>
      </c>
      <c r="H36" s="25">
        <v>12</v>
      </c>
      <c r="I36" s="18">
        <v>30</v>
      </c>
      <c r="J36" s="33">
        <v>34</v>
      </c>
      <c r="K36" s="31">
        <v>0.44</v>
      </c>
      <c r="L36" s="35">
        <v>1.49</v>
      </c>
      <c r="M36" s="19">
        <v>1.49</v>
      </c>
      <c r="N36" s="26">
        <v>1.49</v>
      </c>
      <c r="O36" s="25">
        <v>104.43</v>
      </c>
      <c r="P36" s="18">
        <v>105.64</v>
      </c>
      <c r="Q36" s="33">
        <v>107.45</v>
      </c>
      <c r="R36" s="18"/>
      <c r="S36" s="19"/>
      <c r="T36" s="18"/>
      <c r="U36" s="18"/>
      <c r="V36" s="18"/>
      <c r="W36" s="18"/>
      <c r="X36" s="18"/>
      <c r="Y36" s="19"/>
      <c r="Z36" s="18"/>
      <c r="AA36" s="18"/>
      <c r="AB36" s="18"/>
      <c r="AC36" s="18"/>
      <c r="AD36" s="18"/>
      <c r="AE36" s="19"/>
      <c r="AF36" s="18"/>
      <c r="AG36" s="18"/>
      <c r="AH36" s="18"/>
      <c r="AI36" s="18"/>
      <c r="AJ36" s="18"/>
      <c r="AK36" s="19"/>
      <c r="AL36" s="18"/>
      <c r="AM36" s="18"/>
      <c r="AN36" s="18"/>
      <c r="AO36" s="18"/>
      <c r="AP36" s="18"/>
      <c r="AQ36" s="19"/>
      <c r="AR36" s="18"/>
      <c r="AS36" s="18"/>
      <c r="AT36" s="18"/>
      <c r="AU36" s="18"/>
      <c r="AV36" s="18"/>
      <c r="AW36" s="19"/>
      <c r="AX36" s="18"/>
      <c r="AY36" s="18"/>
      <c r="AZ36" s="18"/>
      <c r="BA36" s="18"/>
      <c r="BB36" s="18"/>
      <c r="BC36" s="19"/>
      <c r="BD36" s="19"/>
    </row>
    <row r="37" spans="1:56" s="14" customFormat="1" x14ac:dyDescent="0.25">
      <c r="A37" s="52">
        <v>4.5</v>
      </c>
      <c r="B37" s="25">
        <v>16</v>
      </c>
      <c r="C37" s="18">
        <v>5.2</v>
      </c>
      <c r="D37" s="33">
        <v>4</v>
      </c>
      <c r="E37" s="25">
        <v>16</v>
      </c>
      <c r="F37" s="18">
        <v>5.2</v>
      </c>
      <c r="G37" s="26">
        <v>4</v>
      </c>
      <c r="H37" s="25">
        <v>12</v>
      </c>
      <c r="I37" s="18">
        <v>30</v>
      </c>
      <c r="J37" s="33">
        <v>38</v>
      </c>
      <c r="K37" s="31">
        <v>0.48</v>
      </c>
      <c r="L37" s="35">
        <v>1.53</v>
      </c>
      <c r="M37" s="19">
        <v>1.53</v>
      </c>
      <c r="N37" s="26">
        <v>1.53</v>
      </c>
      <c r="O37" s="25">
        <v>117.4</v>
      </c>
      <c r="P37" s="18">
        <v>118.75</v>
      </c>
      <c r="Q37" s="33">
        <v>120.78</v>
      </c>
      <c r="R37" s="18"/>
      <c r="S37" s="19"/>
      <c r="T37" s="18"/>
      <c r="U37" s="18"/>
      <c r="V37" s="18"/>
      <c r="W37" s="18"/>
      <c r="X37" s="18"/>
      <c r="Y37" s="19"/>
      <c r="Z37" s="18"/>
      <c r="AA37" s="18"/>
      <c r="AB37" s="18"/>
      <c r="AC37" s="18"/>
      <c r="AD37" s="18"/>
      <c r="AE37" s="19"/>
      <c r="AF37" s="18"/>
      <c r="AG37" s="18"/>
      <c r="AH37" s="18"/>
      <c r="AI37" s="18"/>
      <c r="AJ37" s="18"/>
      <c r="AK37" s="19"/>
      <c r="AL37" s="18"/>
      <c r="AM37" s="18"/>
      <c r="AN37" s="18"/>
      <c r="AO37" s="18"/>
      <c r="AP37" s="18"/>
      <c r="AQ37" s="19"/>
      <c r="AR37" s="18"/>
      <c r="AS37" s="18"/>
      <c r="AT37" s="18"/>
      <c r="AU37" s="18"/>
      <c r="AV37" s="18"/>
      <c r="AW37" s="19"/>
      <c r="AX37" s="18"/>
      <c r="AY37" s="18"/>
      <c r="AZ37" s="18"/>
      <c r="BA37" s="18"/>
      <c r="BB37" s="18"/>
      <c r="BC37" s="19"/>
      <c r="BD37" s="19"/>
    </row>
    <row r="38" spans="1:56" s="14" customFormat="1" x14ac:dyDescent="0.25">
      <c r="A38" s="53">
        <v>5</v>
      </c>
      <c r="B38" s="27">
        <v>16</v>
      </c>
      <c r="C38" s="28">
        <v>5.7</v>
      </c>
      <c r="D38" s="34">
        <v>4</v>
      </c>
      <c r="E38" s="27">
        <v>16</v>
      </c>
      <c r="F38" s="28">
        <v>5.7</v>
      </c>
      <c r="G38" s="29">
        <v>4</v>
      </c>
      <c r="H38" s="27">
        <v>12</v>
      </c>
      <c r="I38" s="28">
        <v>30</v>
      </c>
      <c r="J38" s="34">
        <v>40</v>
      </c>
      <c r="K38" s="32">
        <v>0.52</v>
      </c>
      <c r="L38" s="36">
        <v>1.59</v>
      </c>
      <c r="M38" s="37">
        <v>1.59</v>
      </c>
      <c r="N38" s="29">
        <v>1.59</v>
      </c>
      <c r="O38" s="27">
        <v>128.57</v>
      </c>
      <c r="P38" s="28">
        <v>129.99</v>
      </c>
      <c r="Q38" s="34">
        <v>132.13</v>
      </c>
      <c r="R38" s="18"/>
      <c r="S38" s="19"/>
      <c r="T38" s="18"/>
      <c r="U38" s="18"/>
      <c r="V38" s="18"/>
      <c r="W38" s="18"/>
      <c r="X38" s="18"/>
      <c r="Y38" s="19"/>
      <c r="Z38" s="18"/>
      <c r="AA38" s="18"/>
      <c r="AB38" s="18"/>
      <c r="AC38" s="18"/>
      <c r="AD38" s="18"/>
      <c r="AE38" s="19"/>
      <c r="AF38" s="18"/>
      <c r="AG38" s="18"/>
      <c r="AH38" s="18"/>
      <c r="AI38" s="18"/>
      <c r="AJ38" s="18"/>
      <c r="AK38" s="19"/>
      <c r="AL38" s="18"/>
      <c r="AM38" s="18"/>
      <c r="AN38" s="18"/>
      <c r="AO38" s="18"/>
      <c r="AP38" s="18"/>
      <c r="AQ38" s="19"/>
      <c r="AR38" s="18"/>
      <c r="AS38" s="18"/>
      <c r="AT38" s="18"/>
      <c r="AU38" s="18"/>
      <c r="AV38" s="18"/>
      <c r="AW38" s="19"/>
      <c r="AX38" s="18"/>
      <c r="AY38" s="18"/>
      <c r="AZ38" s="18"/>
      <c r="BA38" s="18"/>
      <c r="BB38" s="18"/>
      <c r="BC38" s="19"/>
      <c r="BD38" s="19"/>
    </row>
    <row r="39" spans="1:56" s="14" customFormat="1" x14ac:dyDescent="0.25">
      <c r="A39" s="17"/>
      <c r="B39" s="18"/>
      <c r="C39" s="18"/>
      <c r="D39" s="18"/>
      <c r="E39" s="18"/>
      <c r="F39" s="18"/>
      <c r="G39" s="19"/>
      <c r="H39" s="18"/>
      <c r="I39" s="18"/>
      <c r="J39" s="18"/>
      <c r="K39" s="18"/>
      <c r="L39" s="19"/>
      <c r="M39" s="19"/>
      <c r="N39" s="18"/>
      <c r="O39" s="18"/>
      <c r="P39" s="18"/>
      <c r="Q39" s="18"/>
      <c r="R39" s="18"/>
      <c r="S39" s="19"/>
      <c r="T39" s="18"/>
      <c r="U39" s="18"/>
      <c r="V39" s="18"/>
      <c r="W39" s="18"/>
      <c r="X39" s="18"/>
      <c r="Y39" s="19"/>
      <c r="Z39" s="18"/>
      <c r="AA39" s="18"/>
      <c r="AB39" s="18"/>
      <c r="AC39" s="18"/>
      <c r="AD39" s="18"/>
      <c r="AE39" s="19"/>
      <c r="AF39" s="18"/>
      <c r="AG39" s="18"/>
      <c r="AH39" s="18"/>
      <c r="AI39" s="18"/>
      <c r="AJ39" s="18"/>
      <c r="AK39" s="19"/>
      <c r="AL39" s="18"/>
      <c r="AM39" s="18"/>
      <c r="AN39" s="18"/>
      <c r="AO39" s="18"/>
      <c r="AP39" s="18"/>
      <c r="AQ39" s="19"/>
      <c r="AR39" s="18"/>
      <c r="AS39" s="18"/>
      <c r="AT39" s="18"/>
      <c r="AU39" s="18"/>
      <c r="AV39" s="18"/>
      <c r="AW39" s="19"/>
      <c r="AX39" s="18"/>
      <c r="AY39" s="18"/>
      <c r="AZ39" s="18"/>
      <c r="BA39" s="18"/>
      <c r="BB39" s="18"/>
      <c r="BC39" s="19"/>
      <c r="BD39" s="19"/>
    </row>
    <row r="40" spans="1:56" customFormat="1" x14ac:dyDescent="0.25"/>
    <row r="41" spans="1:56" customFormat="1" x14ac:dyDescent="0.25">
      <c r="L41" t="str">
        <f>IF(E45&lt;1,"&lt;1",IF(AND(E45&lt;2,E45&gt;1),"2",IF(AND(E45&lt;3,E45&gt;2),"3")))</f>
        <v>2</v>
      </c>
    </row>
    <row r="42" spans="1:56" customFormat="1" x14ac:dyDescent="0.25">
      <c r="G42" s="69" t="s">
        <v>83</v>
      </c>
      <c r="I42" s="90" t="s">
        <v>95</v>
      </c>
      <c r="J42" s="82"/>
      <c r="L42">
        <f>IF(E45&lt;1,INDEX(O30:O38,MATCH(F45,A30:A38,0),1),IF(AND(E45&lt;2,E45&gt;1),INDEX(P30:P38,MATCH(F45,A30:A38,0),1),IF(AND(E45&lt;3,E45&gt;2),INDEX(Q30:Q38,MATCH(F45,A30:A38,0),1))))</f>
        <v>37.04</v>
      </c>
    </row>
    <row r="43" spans="1:56" ht="15" customHeight="1" x14ac:dyDescent="0.25">
      <c r="A43" s="6"/>
      <c r="B43" s="6"/>
      <c r="C43" s="6"/>
      <c r="D43" s="6"/>
      <c r="E43" s="6"/>
      <c r="F43" s="6"/>
      <c r="G43" s="70" t="s">
        <v>82</v>
      </c>
      <c r="H43"/>
      <c r="I43" s="83" t="s">
        <v>84</v>
      </c>
      <c r="J43" s="69" t="s">
        <v>2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</row>
    <row r="44" spans="1:56" x14ac:dyDescent="0.25">
      <c r="A44" s="7"/>
      <c r="B44" s="7"/>
      <c r="C44" s="7"/>
      <c r="D44" s="7"/>
      <c r="E44" s="8" t="s">
        <v>0</v>
      </c>
      <c r="F44" s="9" t="s">
        <v>1</v>
      </c>
      <c r="G44" s="72" t="s">
        <v>85</v>
      </c>
      <c r="H44"/>
      <c r="I44" s="84" t="s">
        <v>86</v>
      </c>
      <c r="J44" s="85" t="s">
        <v>3</v>
      </c>
      <c r="K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56" x14ac:dyDescent="0.25">
      <c r="A45" s="10"/>
      <c r="B45" s="7"/>
      <c r="C45" s="7"/>
      <c r="D45" s="7"/>
      <c r="E45" s="104">
        <f>[1]SLB_CU!$B$8</f>
        <v>1.649569805019155</v>
      </c>
      <c r="F45" s="11">
        <f>MROUND([1]SLB_CU!$D$5,1)</f>
        <v>1</v>
      </c>
      <c r="G45" s="89">
        <f>IF(E45&lt;1,INDEX($C$5:$C$14,MATCH(F45,$A$5:$A$14,0),1),IF(AND(E45&lt;2,E45&gt;1),INDEX($O$5:$O$14,MATCH(F45,$A$5:$A$14,0),1)))/100</f>
        <v>0.2</v>
      </c>
      <c r="H45"/>
      <c r="I45" s="81">
        <f>INDEX(K30:K38,MATCH(F45,A30:A38,0),1)</f>
        <v>0.16</v>
      </c>
      <c r="J45" s="81">
        <f>IF(E45&lt;1,INDEX(O30:O38,MATCH(F45,A30:A38,0),1),IF(AND(E45&lt;2,E45&gt;1),INDEX(P30:P38,MATCH(F45,A30:A38,0),1),IF(AND(E45&lt;3,E45&gt;2),INDEX(Q30:Q38,MATCH(F45,A30:A38,0),1))))</f>
        <v>37.04</v>
      </c>
      <c r="K45" s="7"/>
      <c r="M45"/>
      <c r="N45" s="7"/>
      <c r="O45" s="7"/>
      <c r="P45" s="7"/>
      <c r="Q45" s="7"/>
      <c r="R45" s="7"/>
      <c r="S45" s="7"/>
      <c r="T45" s="7"/>
      <c r="U45" s="7"/>
      <c r="V45" s="10"/>
    </row>
    <row r="46" spans="1:56" x14ac:dyDescent="0.25">
      <c r="A46" s="10"/>
      <c r="B46" s="10"/>
      <c r="C46" s="12"/>
      <c r="D46" s="7"/>
      <c r="E46" s="7"/>
      <c r="F46" s="10"/>
      <c r="G46" s="12"/>
      <c r="H46"/>
      <c r="I46"/>
      <c r="J46"/>
      <c r="K46" s="7"/>
      <c r="M46"/>
      <c r="N46" s="10"/>
      <c r="O46" s="12"/>
      <c r="P46" s="10"/>
      <c r="Q46" s="12"/>
      <c r="R46" s="10"/>
      <c r="S46" s="12"/>
      <c r="T46" s="10"/>
      <c r="U46" s="12"/>
      <c r="V46" s="10"/>
    </row>
    <row r="47" spans="1:56" s="22" customFormat="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M47" s="21"/>
      <c r="N47" s="21"/>
      <c r="O47" s="21"/>
      <c r="P47" s="21"/>
      <c r="Q47" s="21"/>
      <c r="R47" s="21"/>
      <c r="S47" s="21"/>
      <c r="T47" s="21"/>
      <c r="U47" s="21"/>
      <c r="V47" s="21"/>
    </row>
    <row r="48" spans="1:56" s="14" customFormat="1" x14ac:dyDescent="0.25">
      <c r="A48" s="17"/>
      <c r="B48" s="18"/>
      <c r="C48" s="18"/>
      <c r="D48" s="18"/>
      <c r="E48" s="18"/>
      <c r="F48" s="18"/>
      <c r="G48" s="19"/>
      <c r="H48" s="18"/>
      <c r="I48" s="18"/>
      <c r="J48" s="18"/>
      <c r="K48" s="18"/>
      <c r="L48" s="19"/>
      <c r="M48" s="19"/>
      <c r="N48" s="18"/>
      <c r="O48" s="18"/>
      <c r="P48" s="18"/>
      <c r="Q48" s="18"/>
      <c r="R48" s="18"/>
      <c r="S48" s="19"/>
      <c r="T48" s="18"/>
      <c r="U48" s="18"/>
      <c r="V48" s="18"/>
      <c r="W48" s="18"/>
      <c r="X48" s="18"/>
      <c r="Y48" s="19"/>
      <c r="Z48" s="18"/>
      <c r="AA48" s="18"/>
      <c r="AB48" s="18"/>
      <c r="AC48" s="18"/>
      <c r="AD48" s="18"/>
      <c r="AE48" s="19"/>
      <c r="AF48" s="18"/>
      <c r="AG48" s="18"/>
      <c r="AH48" s="18"/>
      <c r="AI48" s="18"/>
      <c r="AJ48" s="18"/>
      <c r="AK48" s="19"/>
      <c r="AL48" s="18"/>
      <c r="AM48" s="18"/>
      <c r="AN48" s="18"/>
      <c r="AO48" s="18"/>
      <c r="AP48" s="18"/>
      <c r="AQ48" s="19"/>
      <c r="AR48" s="18"/>
      <c r="AS48" s="18"/>
      <c r="AT48" s="18"/>
      <c r="AU48" s="18"/>
      <c r="AV48" s="18"/>
      <c r="AW48" s="19"/>
      <c r="AX48" s="18"/>
      <c r="AY48" s="18"/>
      <c r="AZ48" s="18"/>
      <c r="BA48" s="18"/>
      <c r="BB48" s="18"/>
      <c r="BC48" s="19"/>
      <c r="BD48" s="19"/>
    </row>
    <row r="49" spans="1:56" s="14" customFormat="1" x14ac:dyDescent="0.25">
      <c r="A49" s="17"/>
      <c r="B49" s="18"/>
      <c r="C49" s="18"/>
      <c r="D49" s="18"/>
      <c r="E49" s="18"/>
      <c r="F49" s="18"/>
      <c r="G49" s="19"/>
      <c r="H49" s="18"/>
      <c r="I49" s="18"/>
      <c r="J49" s="18"/>
      <c r="K49" s="18"/>
      <c r="L49" s="19"/>
      <c r="M49" s="19"/>
      <c r="N49" s="18"/>
      <c r="O49" s="18"/>
      <c r="P49" s="18"/>
      <c r="Q49" s="18"/>
      <c r="R49" s="18"/>
      <c r="S49" s="19"/>
      <c r="T49" s="18"/>
      <c r="U49" s="18"/>
      <c r="V49" s="18"/>
      <c r="W49" s="18"/>
      <c r="X49" s="18"/>
      <c r="Y49" s="19"/>
      <c r="Z49" s="18"/>
      <c r="AA49" s="18"/>
      <c r="AB49" s="18"/>
      <c r="AC49" s="18"/>
      <c r="AD49" s="18"/>
      <c r="AE49" s="19"/>
      <c r="AF49" s="18"/>
      <c r="AG49" s="18"/>
      <c r="AH49" s="18"/>
      <c r="AI49" s="18"/>
      <c r="AJ49" s="18"/>
      <c r="AK49" s="19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9"/>
      <c r="AX49" s="18"/>
      <c r="AY49" s="18"/>
      <c r="AZ49" s="18"/>
      <c r="BA49" s="18"/>
      <c r="BB49" s="18"/>
      <c r="BC49" s="19"/>
      <c r="BD49" s="19"/>
    </row>
    <row r="50" spans="1:56" s="14" customFormat="1" x14ac:dyDescent="0.25">
      <c r="A50" s="17"/>
      <c r="B50" s="18"/>
      <c r="C50" s="18"/>
      <c r="D50" s="18"/>
      <c r="E50" s="18"/>
      <c r="F50" s="18"/>
      <c r="G50" s="19"/>
      <c r="H50" s="18"/>
      <c r="I50" s="18"/>
      <c r="J50" s="18"/>
      <c r="K50" s="18"/>
      <c r="L50" s="19"/>
      <c r="M50" s="19"/>
      <c r="N50" s="18"/>
      <c r="O50" s="18"/>
      <c r="P50" s="18"/>
      <c r="Q50" s="18"/>
      <c r="R50" s="18"/>
      <c r="S50" s="19"/>
      <c r="T50" s="18"/>
      <c r="U50" s="18"/>
      <c r="V50" s="18"/>
      <c r="W50" s="18"/>
      <c r="X50" s="18"/>
      <c r="Y50" s="19"/>
      <c r="Z50" s="18"/>
      <c r="AA50" s="18"/>
      <c r="AB50" s="18"/>
      <c r="AC50" s="18"/>
      <c r="AD50" s="18"/>
      <c r="AE50" s="19"/>
      <c r="AF50" s="18"/>
      <c r="AG50" s="18"/>
      <c r="AH50" s="18"/>
      <c r="AI50" s="18"/>
      <c r="AJ50" s="18"/>
      <c r="AK50" s="19"/>
      <c r="AL50" s="18"/>
      <c r="AM50" s="18"/>
      <c r="AN50" s="18"/>
      <c r="AO50" s="18"/>
      <c r="AP50" s="18"/>
      <c r="AQ50" s="19"/>
      <c r="AR50" s="18"/>
      <c r="AS50" s="18"/>
      <c r="AT50" s="18"/>
      <c r="AU50" s="18"/>
      <c r="AV50" s="18"/>
      <c r="AW50" s="19"/>
      <c r="AX50" s="18"/>
      <c r="AY50" s="18"/>
      <c r="AZ50" s="18"/>
      <c r="BA50" s="18"/>
      <c r="BB50" s="18"/>
      <c r="BC50" s="19"/>
      <c r="BD50" s="19"/>
    </row>
    <row r="51" spans="1:56" s="14" customFormat="1" x14ac:dyDescent="0.25">
      <c r="A51" s="17"/>
      <c r="B51" s="18"/>
      <c r="C51" s="18"/>
      <c r="D51" s="18"/>
      <c r="E51" s="18"/>
      <c r="F51" s="18"/>
      <c r="G51" s="19"/>
      <c r="H51" s="18"/>
      <c r="I51" s="18"/>
      <c r="J51" s="18"/>
      <c r="K51" s="18"/>
      <c r="L51" s="19"/>
      <c r="M51" s="19"/>
      <c r="N51" s="18"/>
      <c r="O51" s="18"/>
      <c r="P51" s="18"/>
      <c r="Q51" s="18"/>
      <c r="R51" s="18"/>
      <c r="S51" s="19"/>
      <c r="T51" s="18"/>
      <c r="U51" s="18"/>
      <c r="V51" s="18"/>
      <c r="W51" s="18"/>
      <c r="X51" s="18"/>
      <c r="Y51" s="19"/>
      <c r="Z51" s="18"/>
      <c r="AA51" s="18"/>
      <c r="AB51" s="18"/>
      <c r="AC51" s="18"/>
      <c r="AD51" s="18"/>
      <c r="AE51" s="19"/>
      <c r="AF51" s="18"/>
      <c r="AG51" s="18"/>
      <c r="AH51" s="18"/>
      <c r="AI51" s="18"/>
      <c r="AJ51" s="18"/>
      <c r="AK51" s="19"/>
      <c r="AL51" s="18"/>
      <c r="AM51" s="18"/>
      <c r="AN51" s="18"/>
      <c r="AO51" s="18"/>
      <c r="AP51" s="18"/>
      <c r="AQ51" s="19"/>
      <c r="AR51" s="18"/>
      <c r="AS51" s="18"/>
      <c r="AT51" s="18"/>
      <c r="AU51" s="18"/>
      <c r="AV51" s="18"/>
      <c r="AW51" s="19"/>
      <c r="AX51" s="18"/>
      <c r="AY51" s="18"/>
      <c r="AZ51" s="18"/>
      <c r="BA51" s="18"/>
      <c r="BB51" s="18"/>
      <c r="BC51" s="19"/>
      <c r="BD51" s="19"/>
    </row>
    <row r="52" spans="1:56" x14ac:dyDescent="0.25">
      <c r="A52" s="13"/>
      <c r="B52" s="6"/>
      <c r="C52" s="6"/>
      <c r="D52" s="6"/>
      <c r="E52" s="6"/>
      <c r="F52" s="6"/>
      <c r="G52" s="6"/>
      <c r="H52" s="6"/>
      <c r="I52" s="6"/>
      <c r="J52" s="6"/>
      <c r="K52" s="6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spans="1:56" x14ac:dyDescent="0.25">
      <c r="A53" s="13"/>
      <c r="B53" s="6"/>
      <c r="C53" s="6"/>
      <c r="D53" s="6"/>
      <c r="E53" s="6"/>
      <c r="F53" s="6"/>
      <c r="G53" s="6"/>
      <c r="H53" s="6"/>
      <c r="I53" s="6"/>
      <c r="J53" s="6"/>
      <c r="K53" s="6"/>
      <c r="M53" s="6"/>
      <c r="N53" s="6"/>
      <c r="O53" s="6"/>
      <c r="P53" s="6"/>
      <c r="Q53" s="6"/>
      <c r="R53" s="6"/>
      <c r="S53" s="6"/>
      <c r="T53" s="6"/>
      <c r="U53" s="6"/>
      <c r="V53" s="6"/>
    </row>
  </sheetData>
  <mergeCells count="6">
    <mergeCell ref="D3:G3"/>
    <mergeCell ref="H3:K3"/>
    <mergeCell ref="L3:N3"/>
    <mergeCell ref="B28:D28"/>
    <mergeCell ref="E28:G28"/>
    <mergeCell ref="H28:J2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45"/>
  <sheetViews>
    <sheetView zoomScale="85" zoomScaleNormal="85" workbookViewId="0">
      <selection activeCell="J25" sqref="J25"/>
    </sheetView>
  </sheetViews>
  <sheetFormatPr defaultRowHeight="15" x14ac:dyDescent="0.25"/>
  <cols>
    <col min="13" max="13" width="12.42578125" bestFit="1" customWidth="1"/>
  </cols>
  <sheetData>
    <row r="1" spans="1:52" s="14" customFormat="1" ht="15.75" x14ac:dyDescent="0.25">
      <c r="A1" s="23" t="s">
        <v>4</v>
      </c>
      <c r="B1" s="15"/>
      <c r="C1" s="18"/>
      <c r="D1" s="18"/>
      <c r="E1" s="18"/>
      <c r="F1" s="18"/>
      <c r="G1" s="19"/>
      <c r="H1" s="18"/>
      <c r="I1" s="18"/>
      <c r="J1" s="18"/>
      <c r="K1" s="18"/>
      <c r="L1" s="19"/>
      <c r="M1" s="19"/>
      <c r="N1" s="18"/>
      <c r="O1" s="18"/>
      <c r="P1" s="18"/>
      <c r="Q1" s="18"/>
      <c r="R1" s="19"/>
      <c r="S1" s="18"/>
      <c r="T1" s="18"/>
      <c r="U1" s="18"/>
      <c r="V1" s="18"/>
      <c r="W1" s="19"/>
      <c r="X1" s="18"/>
      <c r="Y1" s="18"/>
      <c r="Z1" s="18"/>
      <c r="AA1" s="18"/>
      <c r="AB1" s="19"/>
      <c r="AC1" s="18"/>
      <c r="AD1" s="18"/>
      <c r="AE1" s="18"/>
      <c r="AF1" s="18"/>
      <c r="AG1" s="19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9"/>
      <c r="AT1" s="18"/>
      <c r="AU1" s="18"/>
      <c r="AV1" s="18"/>
      <c r="AW1" s="18"/>
      <c r="AX1" s="18"/>
      <c r="AY1" s="19"/>
      <c r="AZ1" s="19"/>
    </row>
    <row r="2" spans="1:52" s="14" customFormat="1" x14ac:dyDescent="0.25">
      <c r="A2" s="17"/>
      <c r="B2" s="18"/>
      <c r="C2" s="18"/>
      <c r="D2" s="18"/>
      <c r="E2" s="18"/>
      <c r="F2" s="18"/>
      <c r="G2" s="19"/>
      <c r="H2" s="18"/>
      <c r="I2" s="18"/>
      <c r="J2" s="18"/>
      <c r="K2" s="18"/>
      <c r="L2" s="19"/>
      <c r="M2" s="19"/>
      <c r="N2" s="18"/>
      <c r="O2" s="18"/>
      <c r="P2" s="18"/>
      <c r="Q2" s="18"/>
      <c r="R2" s="19"/>
      <c r="S2" s="18"/>
      <c r="T2" s="18"/>
      <c r="U2" s="18"/>
      <c r="V2" s="18"/>
      <c r="W2" s="19"/>
      <c r="X2" s="18"/>
      <c r="Y2" s="18"/>
      <c r="Z2" s="18"/>
      <c r="AA2" s="18"/>
      <c r="AB2" s="19"/>
      <c r="AC2" s="18"/>
      <c r="AD2" s="18"/>
      <c r="AE2" s="18"/>
      <c r="AF2" s="18"/>
      <c r="AG2" s="19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9"/>
      <c r="AT2" s="18"/>
      <c r="AU2" s="18"/>
      <c r="AV2" s="18"/>
      <c r="AW2" s="18"/>
      <c r="AX2" s="18"/>
      <c r="AY2" s="19"/>
      <c r="AZ2" s="19"/>
    </row>
    <row r="3" spans="1:52" s="14" customFormat="1" x14ac:dyDescent="0.25">
      <c r="A3" s="54" t="s">
        <v>40</v>
      </c>
      <c r="B3" s="64">
        <v>1</v>
      </c>
      <c r="C3" s="65"/>
      <c r="D3" s="65"/>
      <c r="E3" s="65"/>
      <c r="F3" s="65"/>
      <c r="G3" s="66"/>
      <c r="H3" s="64">
        <v>2</v>
      </c>
      <c r="I3" s="65"/>
      <c r="J3" s="65"/>
      <c r="K3" s="65"/>
      <c r="L3" s="67"/>
      <c r="M3" s="66"/>
      <c r="N3" s="64">
        <v>3</v>
      </c>
      <c r="O3" s="65"/>
      <c r="P3" s="65"/>
      <c r="Q3" s="65"/>
      <c r="R3" s="67"/>
      <c r="S3" s="66"/>
      <c r="T3" s="64">
        <v>4</v>
      </c>
      <c r="U3" s="65"/>
      <c r="V3" s="65"/>
      <c r="W3" s="65"/>
      <c r="X3" s="67"/>
      <c r="Y3" s="66"/>
      <c r="Z3" s="64">
        <v>5</v>
      </c>
      <c r="AA3" s="65"/>
      <c r="AB3" s="65"/>
      <c r="AC3" s="65"/>
      <c r="AD3" s="67"/>
      <c r="AE3" s="66"/>
      <c r="AF3" s="64">
        <v>6</v>
      </c>
      <c r="AG3" s="65"/>
      <c r="AH3" s="65"/>
      <c r="AI3" s="65"/>
      <c r="AJ3" s="67"/>
      <c r="AK3" s="66"/>
      <c r="AL3" s="18"/>
      <c r="AM3" s="18"/>
      <c r="AN3" s="18"/>
      <c r="AO3" s="18"/>
      <c r="AP3" s="18"/>
      <c r="AQ3" s="18"/>
      <c r="AR3" s="18"/>
      <c r="AS3" s="19"/>
      <c r="AT3" s="18"/>
      <c r="AU3" s="18"/>
      <c r="AV3" s="18"/>
      <c r="AW3" s="18"/>
      <c r="AX3" s="18"/>
      <c r="AY3" s="19"/>
      <c r="AZ3" s="19"/>
    </row>
    <row r="4" spans="1:52" s="14" customFormat="1" x14ac:dyDescent="0.25">
      <c r="A4" s="51" t="s">
        <v>28</v>
      </c>
      <c r="B4" s="56">
        <v>0.25</v>
      </c>
      <c r="C4" s="56"/>
      <c r="D4" s="57"/>
      <c r="E4" s="57"/>
      <c r="F4" s="57"/>
      <c r="G4" s="58"/>
      <c r="H4" s="56">
        <v>0.27</v>
      </c>
      <c r="I4" s="56"/>
      <c r="J4" s="57"/>
      <c r="K4" s="57"/>
      <c r="L4" s="57"/>
      <c r="M4" s="58"/>
      <c r="N4" s="56">
        <v>0.3</v>
      </c>
      <c r="O4" s="56"/>
      <c r="P4" s="57"/>
      <c r="Q4" s="57"/>
      <c r="R4" s="57"/>
      <c r="S4" s="58"/>
      <c r="T4" s="56">
        <v>0.33</v>
      </c>
      <c r="U4" s="56"/>
      <c r="V4" s="57"/>
      <c r="W4" s="57"/>
      <c r="X4" s="57"/>
      <c r="Y4" s="58"/>
      <c r="Z4" s="56">
        <v>0.35</v>
      </c>
      <c r="AA4" s="56"/>
      <c r="AB4" s="57"/>
      <c r="AC4" s="57"/>
      <c r="AD4" s="57"/>
      <c r="AE4" s="58"/>
      <c r="AF4" s="56">
        <v>0.4</v>
      </c>
      <c r="AG4" s="56"/>
      <c r="AH4" s="57"/>
      <c r="AI4" s="57"/>
      <c r="AJ4" s="57"/>
      <c r="AK4" s="58"/>
      <c r="AL4" s="18"/>
      <c r="AM4" s="18"/>
      <c r="AN4" s="18"/>
      <c r="AO4" s="18"/>
      <c r="AP4" s="18"/>
      <c r="AQ4" s="18"/>
      <c r="AR4" s="18"/>
      <c r="AS4" s="19"/>
      <c r="AT4" s="18"/>
      <c r="AU4" s="18"/>
      <c r="AV4" s="18"/>
      <c r="AW4" s="18"/>
      <c r="AX4" s="18"/>
      <c r="AY4" s="19"/>
      <c r="AZ4" s="19"/>
    </row>
    <row r="5" spans="1:52" s="14" customFormat="1" x14ac:dyDescent="0.25">
      <c r="A5" s="52" t="s">
        <v>2</v>
      </c>
      <c r="B5" s="59" t="s">
        <v>41</v>
      </c>
      <c r="C5" s="60" t="s">
        <v>43</v>
      </c>
      <c r="D5" s="60" t="s">
        <v>44</v>
      </c>
      <c r="E5" s="61" t="s">
        <v>45</v>
      </c>
      <c r="F5" s="61" t="s">
        <v>46</v>
      </c>
      <c r="G5" s="62" t="s">
        <v>47</v>
      </c>
      <c r="H5" s="59" t="s">
        <v>41</v>
      </c>
      <c r="I5" s="60" t="s">
        <v>43</v>
      </c>
      <c r="J5" s="60" t="s">
        <v>44</v>
      </c>
      <c r="K5" s="61" t="s">
        <v>48</v>
      </c>
      <c r="L5" s="63" t="s">
        <v>49</v>
      </c>
      <c r="M5" s="62" t="s">
        <v>50</v>
      </c>
      <c r="N5" s="59" t="s">
        <v>41</v>
      </c>
      <c r="O5" s="60" t="s">
        <v>43</v>
      </c>
      <c r="P5" s="60" t="s">
        <v>44</v>
      </c>
      <c r="Q5" s="61" t="s">
        <v>48</v>
      </c>
      <c r="R5" s="63" t="s">
        <v>49</v>
      </c>
      <c r="S5" s="62" t="s">
        <v>50</v>
      </c>
      <c r="T5" s="59" t="s">
        <v>41</v>
      </c>
      <c r="U5" s="60" t="s">
        <v>43</v>
      </c>
      <c r="V5" s="60" t="s">
        <v>44</v>
      </c>
      <c r="W5" s="61" t="s">
        <v>48</v>
      </c>
      <c r="X5" s="63" t="s">
        <v>49</v>
      </c>
      <c r="Y5" s="62" t="s">
        <v>50</v>
      </c>
      <c r="Z5" s="59" t="s">
        <v>41</v>
      </c>
      <c r="AA5" s="60" t="s">
        <v>43</v>
      </c>
      <c r="AB5" s="60" t="s">
        <v>44</v>
      </c>
      <c r="AC5" s="61" t="s">
        <v>48</v>
      </c>
      <c r="AD5" s="63" t="s">
        <v>49</v>
      </c>
      <c r="AE5" s="62" t="s">
        <v>50</v>
      </c>
      <c r="AF5" s="59" t="s">
        <v>41</v>
      </c>
      <c r="AG5" s="60" t="s">
        <v>43</v>
      </c>
      <c r="AH5" s="60" t="s">
        <v>44</v>
      </c>
      <c r="AI5" s="61" t="s">
        <v>48</v>
      </c>
      <c r="AJ5" s="63" t="s">
        <v>49</v>
      </c>
      <c r="AK5" s="62" t="s">
        <v>50</v>
      </c>
      <c r="AL5" s="18"/>
      <c r="AM5" s="18"/>
      <c r="AN5" s="18"/>
      <c r="AO5" s="18"/>
      <c r="AP5" s="18"/>
      <c r="AQ5" s="18"/>
      <c r="AR5" s="18"/>
      <c r="AS5" s="19"/>
      <c r="AT5" s="18"/>
      <c r="AU5" s="18"/>
      <c r="AV5" s="18"/>
      <c r="AW5" s="18"/>
      <c r="AX5" s="18"/>
      <c r="AY5" s="19"/>
      <c r="AZ5" s="19"/>
    </row>
    <row r="6" spans="1:52" s="14" customFormat="1" x14ac:dyDescent="0.25">
      <c r="A6" s="52" t="s">
        <v>29</v>
      </c>
      <c r="B6" s="25">
        <v>16</v>
      </c>
      <c r="C6" s="18">
        <v>12</v>
      </c>
      <c r="D6" s="18">
        <v>2.04</v>
      </c>
      <c r="E6" s="18">
        <v>24.48</v>
      </c>
      <c r="F6" s="18">
        <v>38.64</v>
      </c>
      <c r="G6" s="26">
        <v>300</v>
      </c>
      <c r="H6" s="25">
        <v>16</v>
      </c>
      <c r="I6" s="18">
        <v>20</v>
      </c>
      <c r="J6" s="18">
        <v>2.08</v>
      </c>
      <c r="K6" s="18">
        <v>41.6</v>
      </c>
      <c r="L6" s="19">
        <v>65.67</v>
      </c>
      <c r="M6" s="26">
        <v>300</v>
      </c>
      <c r="N6" s="25">
        <v>16</v>
      </c>
      <c r="O6" s="18">
        <v>26</v>
      </c>
      <c r="P6" s="18">
        <v>2.17</v>
      </c>
      <c r="Q6" s="18">
        <v>56.42</v>
      </c>
      <c r="R6" s="19">
        <v>89.07</v>
      </c>
      <c r="S6" s="26">
        <v>300</v>
      </c>
      <c r="T6" s="25">
        <v>16</v>
      </c>
      <c r="U6" s="18">
        <v>32</v>
      </c>
      <c r="V6" s="18">
        <v>2.23</v>
      </c>
      <c r="W6" s="18">
        <v>71.36</v>
      </c>
      <c r="X6" s="19">
        <v>112.65</v>
      </c>
      <c r="Y6" s="26">
        <v>300</v>
      </c>
      <c r="Z6" s="25"/>
      <c r="AA6" s="18"/>
      <c r="AB6" s="18"/>
      <c r="AC6" s="18"/>
      <c r="AD6" s="19"/>
      <c r="AE6" s="26"/>
      <c r="AF6" s="25"/>
      <c r="AG6" s="18"/>
      <c r="AH6" s="18"/>
      <c r="AI6" s="18"/>
      <c r="AJ6" s="19"/>
      <c r="AK6" s="26"/>
      <c r="AL6" s="18"/>
      <c r="AM6" s="18"/>
      <c r="AN6" s="18"/>
      <c r="AO6" s="18"/>
      <c r="AP6" s="18"/>
      <c r="AQ6" s="18"/>
      <c r="AR6" s="18"/>
      <c r="AS6" s="19"/>
      <c r="AT6" s="18"/>
      <c r="AU6" s="18"/>
      <c r="AV6" s="18"/>
      <c r="AW6" s="18"/>
      <c r="AX6" s="18"/>
      <c r="AY6" s="19"/>
      <c r="AZ6" s="19"/>
    </row>
    <row r="7" spans="1:52" s="14" customFormat="1" x14ac:dyDescent="0.25">
      <c r="A7" s="52" t="s">
        <v>30</v>
      </c>
      <c r="B7" s="25">
        <v>12</v>
      </c>
      <c r="C7" s="18">
        <v>10</v>
      </c>
      <c r="D7" s="18">
        <v>1.7</v>
      </c>
      <c r="E7" s="18">
        <v>17</v>
      </c>
      <c r="F7" s="18">
        <v>15.1</v>
      </c>
      <c r="G7" s="26" t="s">
        <v>42</v>
      </c>
      <c r="H7" s="25">
        <v>12</v>
      </c>
      <c r="I7" s="18">
        <v>10</v>
      </c>
      <c r="J7" s="18">
        <v>2.7</v>
      </c>
      <c r="K7" s="18">
        <v>27</v>
      </c>
      <c r="L7" s="19">
        <v>23.98</v>
      </c>
      <c r="M7" s="26" t="s">
        <v>42</v>
      </c>
      <c r="N7" s="25">
        <v>12</v>
      </c>
      <c r="O7" s="18">
        <v>10</v>
      </c>
      <c r="P7" s="18">
        <v>3.7</v>
      </c>
      <c r="Q7" s="18">
        <v>37</v>
      </c>
      <c r="R7" s="19">
        <v>32.86</v>
      </c>
      <c r="S7" s="26" t="s">
        <v>42</v>
      </c>
      <c r="T7" s="25">
        <v>12</v>
      </c>
      <c r="U7" s="18">
        <v>10</v>
      </c>
      <c r="V7" s="18">
        <v>4.7</v>
      </c>
      <c r="W7" s="18">
        <v>47</v>
      </c>
      <c r="X7" s="19">
        <v>41.74</v>
      </c>
      <c r="Y7" s="26" t="s">
        <v>42</v>
      </c>
      <c r="Z7" s="25"/>
      <c r="AA7" s="18"/>
      <c r="AB7" s="18"/>
      <c r="AC7" s="18"/>
      <c r="AD7" s="19"/>
      <c r="AE7" s="26"/>
      <c r="AF7" s="25"/>
      <c r="AG7" s="18"/>
      <c r="AH7" s="18"/>
      <c r="AI7" s="18"/>
      <c r="AJ7" s="19"/>
      <c r="AK7" s="26"/>
      <c r="AL7" s="18"/>
      <c r="AM7" s="18"/>
      <c r="AN7" s="18"/>
      <c r="AO7" s="18"/>
      <c r="AP7" s="18"/>
      <c r="AQ7" s="18"/>
      <c r="AR7" s="18"/>
      <c r="AS7" s="19"/>
      <c r="AT7" s="18"/>
      <c r="AU7" s="18"/>
      <c r="AV7" s="18"/>
      <c r="AW7" s="18"/>
      <c r="AX7" s="18"/>
      <c r="AY7" s="19"/>
      <c r="AZ7" s="19"/>
    </row>
    <row r="8" spans="1:52" s="14" customFormat="1" x14ac:dyDescent="0.25">
      <c r="A8" s="52" t="s">
        <v>31</v>
      </c>
      <c r="B8" s="25">
        <v>16</v>
      </c>
      <c r="C8" s="18">
        <v>29</v>
      </c>
      <c r="D8" s="18">
        <v>2.1800000000000002</v>
      </c>
      <c r="E8" s="18">
        <v>63.22</v>
      </c>
      <c r="F8" s="18">
        <v>99.89</v>
      </c>
      <c r="G8" s="26">
        <v>280</v>
      </c>
      <c r="H8" s="25">
        <v>20</v>
      </c>
      <c r="I8" s="18">
        <v>22</v>
      </c>
      <c r="J8" s="18">
        <v>3.29</v>
      </c>
      <c r="K8" s="18">
        <v>79.06</v>
      </c>
      <c r="L8" s="19">
        <v>178.71</v>
      </c>
      <c r="M8" s="26">
        <v>380</v>
      </c>
      <c r="N8" s="25">
        <v>24</v>
      </c>
      <c r="O8" s="18">
        <v>17</v>
      </c>
      <c r="P8" s="18">
        <v>4.41</v>
      </c>
      <c r="Q8" s="18">
        <v>83.85</v>
      </c>
      <c r="R8" s="19">
        <v>266.52</v>
      </c>
      <c r="S8" s="26">
        <v>500</v>
      </c>
      <c r="T8" s="25">
        <v>24</v>
      </c>
      <c r="U8" s="18">
        <v>22</v>
      </c>
      <c r="V8" s="18">
        <v>5.41</v>
      </c>
      <c r="W8" s="18">
        <v>129.91</v>
      </c>
      <c r="X8" s="19">
        <v>423.12</v>
      </c>
      <c r="Y8" s="26">
        <v>380</v>
      </c>
      <c r="Z8" s="25"/>
      <c r="AA8" s="18"/>
      <c r="AB8" s="18"/>
      <c r="AC8" s="18"/>
      <c r="AD8" s="19"/>
      <c r="AE8" s="26"/>
      <c r="AF8" s="25"/>
      <c r="AG8" s="18"/>
      <c r="AH8" s="18"/>
      <c r="AI8" s="18"/>
      <c r="AJ8" s="19"/>
      <c r="AK8" s="26"/>
      <c r="AL8" s="18"/>
      <c r="AM8" s="18"/>
      <c r="AN8" s="18"/>
      <c r="AO8" s="18"/>
      <c r="AP8" s="18"/>
      <c r="AQ8" s="18"/>
      <c r="AR8" s="18"/>
      <c r="AS8" s="19"/>
      <c r="AT8" s="18"/>
      <c r="AU8" s="18"/>
      <c r="AV8" s="18"/>
      <c r="AW8" s="18"/>
      <c r="AX8" s="18"/>
      <c r="AY8" s="19"/>
      <c r="AZ8" s="19"/>
    </row>
    <row r="9" spans="1:52" s="14" customFormat="1" x14ac:dyDescent="0.25">
      <c r="A9" s="52" t="s">
        <v>32</v>
      </c>
      <c r="B9" s="25" t="s">
        <v>42</v>
      </c>
      <c r="C9" s="18" t="s">
        <v>42</v>
      </c>
      <c r="D9" s="18" t="s">
        <v>42</v>
      </c>
      <c r="E9" s="18" t="s">
        <v>42</v>
      </c>
      <c r="F9" s="18" t="s">
        <v>42</v>
      </c>
      <c r="G9" s="26" t="s">
        <v>42</v>
      </c>
      <c r="H9" s="25">
        <v>16</v>
      </c>
      <c r="I9" s="18">
        <v>5</v>
      </c>
      <c r="J9" s="18">
        <v>1.9</v>
      </c>
      <c r="K9" s="18">
        <v>9.5</v>
      </c>
      <c r="L9" s="19">
        <v>15.01</v>
      </c>
      <c r="M9" s="26">
        <v>380</v>
      </c>
      <c r="N9" s="25">
        <v>16</v>
      </c>
      <c r="O9" s="18">
        <v>4</v>
      </c>
      <c r="P9" s="18">
        <v>2.9</v>
      </c>
      <c r="Q9" s="18">
        <v>11.6</v>
      </c>
      <c r="R9" s="19">
        <v>18.329999999999998</v>
      </c>
      <c r="S9" s="26">
        <v>500</v>
      </c>
      <c r="T9" s="25">
        <v>16</v>
      </c>
      <c r="U9" s="18">
        <v>7</v>
      </c>
      <c r="V9" s="18">
        <v>3.9</v>
      </c>
      <c r="W9" s="18">
        <v>27.3</v>
      </c>
      <c r="X9" s="19">
        <v>43.1</v>
      </c>
      <c r="Y9" s="26">
        <v>380</v>
      </c>
      <c r="Z9" s="25"/>
      <c r="AA9" s="18"/>
      <c r="AB9" s="18"/>
      <c r="AC9" s="18"/>
      <c r="AD9" s="19"/>
      <c r="AE9" s="26"/>
      <c r="AF9" s="25"/>
      <c r="AG9" s="18"/>
      <c r="AH9" s="18"/>
      <c r="AI9" s="18"/>
      <c r="AJ9" s="19"/>
      <c r="AK9" s="26"/>
      <c r="AL9" s="18"/>
      <c r="AM9" s="18"/>
      <c r="AN9" s="18"/>
      <c r="AO9" s="18"/>
      <c r="AP9" s="18"/>
      <c r="AQ9" s="18"/>
      <c r="AR9" s="18"/>
      <c r="AS9" s="19"/>
      <c r="AT9" s="18"/>
      <c r="AU9" s="18"/>
      <c r="AV9" s="18"/>
      <c r="AW9" s="18"/>
      <c r="AX9" s="18"/>
      <c r="AY9" s="19"/>
      <c r="AZ9" s="19"/>
    </row>
    <row r="10" spans="1:52" s="14" customFormat="1" x14ac:dyDescent="0.25">
      <c r="A10" s="52" t="s">
        <v>33</v>
      </c>
      <c r="B10" s="25">
        <v>16</v>
      </c>
      <c r="C10" s="18">
        <v>28</v>
      </c>
      <c r="D10" s="18">
        <v>1.47</v>
      </c>
      <c r="E10" s="18">
        <v>41.16</v>
      </c>
      <c r="F10" s="18">
        <v>65.03</v>
      </c>
      <c r="G10" s="26">
        <v>280</v>
      </c>
      <c r="H10" s="25">
        <v>20</v>
      </c>
      <c r="I10" s="18">
        <v>21</v>
      </c>
      <c r="J10" s="18">
        <v>2.3199999999999998</v>
      </c>
      <c r="K10" s="18">
        <v>48.67</v>
      </c>
      <c r="L10" s="19">
        <v>120.29</v>
      </c>
      <c r="M10" s="26">
        <v>380</v>
      </c>
      <c r="N10" s="25">
        <v>24</v>
      </c>
      <c r="O10" s="18">
        <v>16</v>
      </c>
      <c r="P10" s="18">
        <v>3.28</v>
      </c>
      <c r="Q10" s="18">
        <v>52.44</v>
      </c>
      <c r="R10" s="19">
        <v>186.57</v>
      </c>
      <c r="S10" s="26">
        <v>500</v>
      </c>
      <c r="T10" s="25">
        <v>24</v>
      </c>
      <c r="U10" s="18">
        <v>21</v>
      </c>
      <c r="V10" s="18">
        <v>3.96</v>
      </c>
      <c r="W10" s="18">
        <v>83.08</v>
      </c>
      <c r="X10" s="19">
        <v>295.63</v>
      </c>
      <c r="Y10" s="26">
        <v>380</v>
      </c>
      <c r="Z10" s="25"/>
      <c r="AA10" s="18"/>
      <c r="AB10" s="18"/>
      <c r="AC10" s="18"/>
      <c r="AD10" s="19"/>
      <c r="AE10" s="26"/>
      <c r="AF10" s="25"/>
      <c r="AG10" s="18"/>
      <c r="AH10" s="18"/>
      <c r="AI10" s="18"/>
      <c r="AJ10" s="19"/>
      <c r="AK10" s="26"/>
      <c r="AL10" s="18"/>
      <c r="AM10" s="18"/>
      <c r="AN10" s="18"/>
      <c r="AO10" s="18"/>
      <c r="AP10" s="18"/>
      <c r="AQ10" s="18"/>
      <c r="AR10" s="18"/>
      <c r="AS10" s="19"/>
      <c r="AT10" s="18"/>
      <c r="AU10" s="18"/>
      <c r="AV10" s="18"/>
      <c r="AW10" s="18"/>
      <c r="AX10" s="18"/>
      <c r="AY10" s="19"/>
      <c r="AZ10" s="19"/>
    </row>
    <row r="11" spans="1:52" s="14" customFormat="1" x14ac:dyDescent="0.25">
      <c r="A11" s="52" t="s">
        <v>34</v>
      </c>
      <c r="B11" s="25">
        <v>12</v>
      </c>
      <c r="C11" s="18">
        <v>7</v>
      </c>
      <c r="D11" s="18">
        <v>7.95</v>
      </c>
      <c r="E11" s="18">
        <v>55.65</v>
      </c>
      <c r="F11" s="18">
        <v>49.42</v>
      </c>
      <c r="G11" s="26">
        <v>240</v>
      </c>
      <c r="H11" s="25">
        <v>16</v>
      </c>
      <c r="I11" s="18">
        <v>8</v>
      </c>
      <c r="J11" s="18">
        <v>7.95</v>
      </c>
      <c r="K11" s="18">
        <v>63.6</v>
      </c>
      <c r="L11" s="19">
        <v>100.4</v>
      </c>
      <c r="M11" s="26">
        <v>350</v>
      </c>
      <c r="N11" s="25">
        <v>16</v>
      </c>
      <c r="O11" s="18">
        <v>10</v>
      </c>
      <c r="P11" s="18">
        <v>7.95</v>
      </c>
      <c r="Q11" s="18">
        <v>79.5</v>
      </c>
      <c r="R11" s="19">
        <v>125.5</v>
      </c>
      <c r="S11" s="26">
        <v>380</v>
      </c>
      <c r="T11" s="25">
        <v>16</v>
      </c>
      <c r="U11" s="18">
        <v>14</v>
      </c>
      <c r="V11" s="18">
        <v>7.95</v>
      </c>
      <c r="W11" s="18">
        <v>111.3</v>
      </c>
      <c r="X11" s="19">
        <v>175.7</v>
      </c>
      <c r="Y11" s="26">
        <v>330</v>
      </c>
      <c r="Z11" s="25"/>
      <c r="AA11" s="18"/>
      <c r="AB11" s="18"/>
      <c r="AC11" s="18"/>
      <c r="AD11" s="19"/>
      <c r="AE11" s="26"/>
      <c r="AF11" s="25"/>
      <c r="AG11" s="18"/>
      <c r="AH11" s="18"/>
      <c r="AI11" s="18"/>
      <c r="AJ11" s="19"/>
      <c r="AK11" s="26"/>
      <c r="AL11" s="18"/>
      <c r="AM11" s="18"/>
      <c r="AN11" s="18"/>
      <c r="AO11" s="18"/>
      <c r="AP11" s="18"/>
      <c r="AQ11" s="18"/>
      <c r="AR11" s="18"/>
      <c r="AS11" s="19"/>
      <c r="AT11" s="18"/>
      <c r="AU11" s="18"/>
      <c r="AV11" s="18"/>
      <c r="AW11" s="18"/>
      <c r="AX11" s="18"/>
      <c r="AY11" s="19"/>
      <c r="AZ11" s="19"/>
    </row>
    <row r="12" spans="1:52" s="14" customFormat="1" x14ac:dyDescent="0.25">
      <c r="A12" s="52" t="s">
        <v>35</v>
      </c>
      <c r="B12" s="25">
        <v>12</v>
      </c>
      <c r="C12" s="18">
        <v>18</v>
      </c>
      <c r="D12" s="18">
        <v>1.7</v>
      </c>
      <c r="E12" s="18">
        <v>30.6</v>
      </c>
      <c r="F12" s="18">
        <v>27.17</v>
      </c>
      <c r="G12" s="26">
        <v>400</v>
      </c>
      <c r="H12" s="25">
        <v>12</v>
      </c>
      <c r="I12" s="18">
        <v>18</v>
      </c>
      <c r="J12" s="18">
        <v>2.7</v>
      </c>
      <c r="K12" s="18">
        <v>48.6</v>
      </c>
      <c r="L12" s="19">
        <v>43.16</v>
      </c>
      <c r="M12" s="26">
        <v>400</v>
      </c>
      <c r="N12" s="25">
        <v>12</v>
      </c>
      <c r="O12" s="18">
        <v>18</v>
      </c>
      <c r="P12" s="18">
        <v>3.7</v>
      </c>
      <c r="Q12" s="18">
        <v>66.599999999999994</v>
      </c>
      <c r="R12" s="19">
        <v>59.14</v>
      </c>
      <c r="S12" s="26">
        <v>400</v>
      </c>
      <c r="T12" s="25">
        <v>12</v>
      </c>
      <c r="U12" s="18">
        <v>18</v>
      </c>
      <c r="V12" s="18">
        <v>4.7</v>
      </c>
      <c r="W12" s="18">
        <v>84.6</v>
      </c>
      <c r="X12" s="19">
        <v>75.12</v>
      </c>
      <c r="Y12" s="26">
        <v>400</v>
      </c>
      <c r="Z12" s="25"/>
      <c r="AA12" s="18"/>
      <c r="AB12" s="18"/>
      <c r="AC12" s="18"/>
      <c r="AD12" s="19"/>
      <c r="AE12" s="26"/>
      <c r="AF12" s="25"/>
      <c r="AG12" s="18"/>
      <c r="AH12" s="18"/>
      <c r="AI12" s="18"/>
      <c r="AJ12" s="19"/>
      <c r="AK12" s="26"/>
      <c r="AL12" s="18"/>
      <c r="AM12" s="18"/>
      <c r="AN12" s="18"/>
      <c r="AO12" s="18"/>
      <c r="AP12" s="18"/>
      <c r="AQ12" s="18"/>
      <c r="AR12" s="18"/>
      <c r="AS12" s="19"/>
      <c r="AT12" s="18"/>
      <c r="AU12" s="18"/>
      <c r="AV12" s="18"/>
      <c r="AW12" s="18"/>
      <c r="AX12" s="18"/>
      <c r="AY12" s="19"/>
      <c r="AZ12" s="19"/>
    </row>
    <row r="13" spans="1:52" s="14" customFormat="1" x14ac:dyDescent="0.25">
      <c r="A13" s="53" t="s">
        <v>36</v>
      </c>
      <c r="B13" s="27">
        <v>12</v>
      </c>
      <c r="C13" s="28">
        <v>4</v>
      </c>
      <c r="D13" s="28">
        <v>8.2799999999999994</v>
      </c>
      <c r="E13" s="28">
        <v>33.119999999999997</v>
      </c>
      <c r="F13" s="28">
        <v>29.41</v>
      </c>
      <c r="G13" s="29">
        <v>400</v>
      </c>
      <c r="H13" s="27">
        <v>12</v>
      </c>
      <c r="I13" s="28">
        <v>7</v>
      </c>
      <c r="J13" s="28">
        <v>8.2799999999999994</v>
      </c>
      <c r="K13" s="28">
        <v>57.96</v>
      </c>
      <c r="L13" s="37">
        <v>51.47</v>
      </c>
      <c r="M13" s="29">
        <v>400</v>
      </c>
      <c r="N13" s="27">
        <v>12</v>
      </c>
      <c r="O13" s="28">
        <v>9</v>
      </c>
      <c r="P13" s="28">
        <v>8.2799999999999994</v>
      </c>
      <c r="Q13" s="28">
        <v>74.52</v>
      </c>
      <c r="R13" s="37">
        <v>66.17</v>
      </c>
      <c r="S13" s="29">
        <v>400</v>
      </c>
      <c r="T13" s="27">
        <v>12</v>
      </c>
      <c r="U13" s="28">
        <v>12</v>
      </c>
      <c r="V13" s="28">
        <v>8.2799999999999994</v>
      </c>
      <c r="W13" s="28">
        <v>99.36</v>
      </c>
      <c r="X13" s="37">
        <v>88.23</v>
      </c>
      <c r="Y13" s="29">
        <v>400</v>
      </c>
      <c r="Z13" s="27"/>
      <c r="AA13" s="28"/>
      <c r="AB13" s="28"/>
      <c r="AC13" s="28"/>
      <c r="AD13" s="37"/>
      <c r="AE13" s="29"/>
      <c r="AF13" s="27"/>
      <c r="AG13" s="28"/>
      <c r="AH13" s="28"/>
      <c r="AI13" s="28"/>
      <c r="AJ13" s="37"/>
      <c r="AK13" s="29"/>
      <c r="AL13" s="18"/>
      <c r="AM13" s="18"/>
      <c r="AN13" s="18"/>
      <c r="AO13" s="18"/>
      <c r="AP13" s="18"/>
      <c r="AQ13" s="18"/>
      <c r="AR13" s="18"/>
      <c r="AS13" s="19"/>
      <c r="AT13" s="18"/>
      <c r="AU13" s="18"/>
      <c r="AV13" s="18"/>
      <c r="AW13" s="18"/>
      <c r="AX13" s="18"/>
      <c r="AY13" s="19"/>
      <c r="AZ13" s="19"/>
    </row>
    <row r="14" spans="1:52" s="14" customFormat="1" x14ac:dyDescent="0.25">
      <c r="A14" s="97" t="s">
        <v>37</v>
      </c>
      <c r="B14" s="59">
        <v>3.95</v>
      </c>
      <c r="C14" s="60"/>
      <c r="D14" s="60"/>
      <c r="E14" s="60"/>
      <c r="F14" s="60"/>
      <c r="G14" s="50"/>
      <c r="H14" s="59">
        <v>6.58</v>
      </c>
      <c r="I14" s="60"/>
      <c r="J14" s="60"/>
      <c r="K14" s="60"/>
      <c r="L14" s="49"/>
      <c r="M14" s="50"/>
      <c r="N14" s="59">
        <v>9.84</v>
      </c>
      <c r="O14" s="60"/>
      <c r="P14" s="60"/>
      <c r="Q14" s="60"/>
      <c r="R14" s="49"/>
      <c r="S14" s="50"/>
      <c r="T14" s="59">
        <v>13.57</v>
      </c>
      <c r="U14" s="60"/>
      <c r="V14" s="60"/>
      <c r="W14" s="60"/>
      <c r="X14" s="49"/>
      <c r="Y14" s="50"/>
      <c r="Z14" s="59"/>
      <c r="AA14" s="60"/>
      <c r="AB14" s="60"/>
      <c r="AC14" s="60"/>
      <c r="AD14" s="49"/>
      <c r="AE14" s="50"/>
      <c r="AF14" s="59"/>
      <c r="AG14" s="60"/>
      <c r="AH14" s="60"/>
      <c r="AI14" s="60"/>
      <c r="AJ14" s="49"/>
      <c r="AK14" s="50"/>
      <c r="AL14" s="18"/>
      <c r="AM14" s="18"/>
      <c r="AN14" s="18"/>
      <c r="AO14" s="18"/>
      <c r="AP14" s="18"/>
      <c r="AQ14" s="18"/>
      <c r="AR14" s="18"/>
      <c r="AS14" s="19"/>
      <c r="AT14" s="18"/>
      <c r="AU14" s="18"/>
      <c r="AV14" s="18"/>
      <c r="AW14" s="18"/>
      <c r="AX14" s="18"/>
      <c r="AY14" s="19"/>
      <c r="AZ14" s="19"/>
    </row>
    <row r="15" spans="1:52" s="14" customFormat="1" x14ac:dyDescent="0.25">
      <c r="A15" s="17" t="s">
        <v>38</v>
      </c>
      <c r="B15" s="25">
        <v>324.66000000000003</v>
      </c>
      <c r="C15" s="18"/>
      <c r="D15" s="18"/>
      <c r="E15" s="18"/>
      <c r="F15" s="18"/>
      <c r="G15" s="26"/>
      <c r="H15" s="25">
        <v>598.69000000000005</v>
      </c>
      <c r="I15" s="18"/>
      <c r="J15" s="18"/>
      <c r="K15" s="18"/>
      <c r="L15" s="18"/>
      <c r="M15" s="26"/>
      <c r="N15" s="25">
        <v>844.15</v>
      </c>
      <c r="O15" s="18"/>
      <c r="P15" s="18"/>
      <c r="Q15" s="18"/>
      <c r="R15" s="18"/>
      <c r="S15" s="26"/>
      <c r="T15" s="25">
        <v>1255.29</v>
      </c>
      <c r="U15" s="18"/>
      <c r="V15" s="18"/>
      <c r="W15" s="18"/>
      <c r="X15" s="18"/>
      <c r="Y15" s="26"/>
      <c r="Z15" s="25"/>
      <c r="AA15" s="18"/>
      <c r="AB15" s="18"/>
      <c r="AC15" s="18"/>
      <c r="AD15" s="18"/>
      <c r="AE15" s="26"/>
      <c r="AF15" s="25"/>
      <c r="AG15" s="18"/>
      <c r="AH15" s="18"/>
      <c r="AI15" s="18"/>
      <c r="AJ15" s="18"/>
      <c r="AK15" s="26"/>
      <c r="AL15" s="18"/>
      <c r="AM15" s="18"/>
      <c r="AN15" s="18"/>
      <c r="AO15" s="18"/>
      <c r="AP15" s="18"/>
      <c r="AQ15" s="18"/>
      <c r="AR15" s="18"/>
      <c r="AS15" s="19"/>
      <c r="AT15" s="18"/>
      <c r="AU15" s="18"/>
      <c r="AV15" s="18"/>
      <c r="AW15" s="18"/>
      <c r="AX15" s="18"/>
      <c r="AY15" s="19"/>
      <c r="AZ15" s="19"/>
    </row>
    <row r="16" spans="1:52" s="14" customFormat="1" x14ac:dyDescent="0.25">
      <c r="A16" s="102" t="s">
        <v>39</v>
      </c>
      <c r="B16" s="27">
        <v>3.4</v>
      </c>
      <c r="C16" s="28"/>
      <c r="D16" s="28"/>
      <c r="E16" s="28"/>
      <c r="F16" s="28"/>
      <c r="G16" s="29"/>
      <c r="H16" s="27">
        <v>5.4</v>
      </c>
      <c r="I16" s="28"/>
      <c r="J16" s="28"/>
      <c r="K16" s="28"/>
      <c r="L16" s="37"/>
      <c r="M16" s="29"/>
      <c r="N16" s="27">
        <v>7.4</v>
      </c>
      <c r="O16" s="28"/>
      <c r="P16" s="28"/>
      <c r="Q16" s="28"/>
      <c r="R16" s="37"/>
      <c r="S16" s="29"/>
      <c r="T16" s="27">
        <v>9.4</v>
      </c>
      <c r="U16" s="28"/>
      <c r="V16" s="28"/>
      <c r="W16" s="28"/>
      <c r="X16" s="37"/>
      <c r="Y16" s="29"/>
      <c r="Z16" s="27"/>
      <c r="AA16" s="28"/>
      <c r="AB16" s="28"/>
      <c r="AC16" s="28"/>
      <c r="AD16" s="37"/>
      <c r="AE16" s="29"/>
      <c r="AF16" s="27"/>
      <c r="AG16" s="28"/>
      <c r="AH16" s="28"/>
      <c r="AI16" s="28"/>
      <c r="AJ16" s="37"/>
      <c r="AK16" s="29"/>
      <c r="AL16" s="18"/>
      <c r="AM16" s="18"/>
      <c r="AN16" s="18"/>
      <c r="AO16" s="18"/>
      <c r="AP16" s="18"/>
      <c r="AQ16" s="18"/>
      <c r="AR16" s="18"/>
      <c r="AS16" s="19"/>
      <c r="AT16" s="18"/>
      <c r="AU16" s="18"/>
      <c r="AV16" s="18"/>
      <c r="AW16" s="18"/>
      <c r="AX16" s="18"/>
      <c r="AY16" s="19"/>
      <c r="AZ16" s="19"/>
    </row>
    <row r="17" spans="1:52" s="14" customFormat="1" x14ac:dyDescent="0.25">
      <c r="A17" s="17"/>
      <c r="B17" s="18"/>
      <c r="C17" s="18"/>
      <c r="D17" s="18"/>
      <c r="E17" s="18"/>
      <c r="F17" s="18"/>
      <c r="G17" s="19"/>
      <c r="H17" s="18"/>
      <c r="I17" s="18"/>
      <c r="J17" s="18"/>
      <c r="K17" s="18"/>
      <c r="L17" s="19"/>
      <c r="M17" s="19"/>
      <c r="N17" s="18"/>
      <c r="O17" s="18"/>
      <c r="P17" s="18"/>
      <c r="Q17" s="18"/>
      <c r="R17" s="19"/>
      <c r="S17" s="18"/>
      <c r="T17" s="18"/>
      <c r="U17" s="18"/>
      <c r="V17" s="18"/>
      <c r="W17" s="19"/>
      <c r="X17" s="18"/>
      <c r="Y17" s="18"/>
      <c r="Z17" s="18"/>
      <c r="AA17" s="18"/>
      <c r="AB17" s="19"/>
      <c r="AC17" s="18"/>
      <c r="AD17" s="18"/>
      <c r="AE17" s="18"/>
      <c r="AF17" s="18"/>
      <c r="AG17" s="19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9"/>
      <c r="AT17" s="18"/>
      <c r="AU17" s="18"/>
      <c r="AV17" s="18"/>
      <c r="AW17" s="18"/>
      <c r="AX17" s="18"/>
      <c r="AY17" s="19"/>
      <c r="AZ17" s="19"/>
    </row>
    <row r="18" spans="1:52" x14ac:dyDescent="0.25">
      <c r="C18" s="3"/>
      <c r="D18" s="3"/>
      <c r="E18" s="2"/>
      <c r="F18" s="2"/>
      <c r="G18" s="2"/>
      <c r="H18" s="2"/>
      <c r="I18" s="2"/>
    </row>
    <row r="19" spans="1:52" x14ac:dyDescent="0.25">
      <c r="C19" s="2"/>
      <c r="D19" s="2"/>
      <c r="E19" s="69" t="s">
        <v>83</v>
      </c>
      <c r="F19" s="2"/>
      <c r="G19" s="98" t="s">
        <v>97</v>
      </c>
      <c r="H19" s="98" t="s">
        <v>98</v>
      </c>
      <c r="I19" s="94" t="s">
        <v>96</v>
      </c>
    </row>
    <row r="20" spans="1:52" x14ac:dyDescent="0.25">
      <c r="C20" s="72" t="s">
        <v>85</v>
      </c>
      <c r="D20" s="72" t="s">
        <v>85</v>
      </c>
      <c r="E20" s="70" t="s">
        <v>82</v>
      </c>
      <c r="F20" s="1"/>
      <c r="G20" s="83" t="s">
        <v>84</v>
      </c>
      <c r="H20" s="83" t="s">
        <v>2</v>
      </c>
      <c r="I20" s="95" t="s">
        <v>84</v>
      </c>
    </row>
    <row r="21" spans="1:52" x14ac:dyDescent="0.25">
      <c r="C21" s="8" t="s">
        <v>0</v>
      </c>
      <c r="D21" s="72" t="s">
        <v>1</v>
      </c>
      <c r="E21" s="72" t="s">
        <v>85</v>
      </c>
      <c r="F21" s="1"/>
      <c r="G21" s="84" t="s">
        <v>86</v>
      </c>
      <c r="H21" s="93" t="s">
        <v>3</v>
      </c>
      <c r="I21" s="96" t="s">
        <v>85</v>
      </c>
    </row>
    <row r="22" spans="1:52" x14ac:dyDescent="0.25">
      <c r="C22" s="80">
        <f>[1]SLB_CU!$B$8</f>
        <v>1.649569805019155</v>
      </c>
      <c r="D22" s="11">
        <f>MROUND([1]SLB_CU!$D$5,1)</f>
        <v>1</v>
      </c>
      <c r="E22" s="89">
        <f>INDEX(B3:AK4,2,MATCH(D22,B3:AK3,0))</f>
        <v>0.25</v>
      </c>
      <c r="F22" s="1"/>
      <c r="G22" s="81">
        <f>INDEX(B3:AK16,12,MATCH(D22,B3:AK3,0))</f>
        <v>3.95</v>
      </c>
      <c r="H22" s="81">
        <f>INDEX(B3:AK16,13,MATCH(D22,B3:AK3,0))</f>
        <v>324.66000000000003</v>
      </c>
      <c r="I22" s="8">
        <f>INDEX(B3:AK16,14,MATCH(D22,B3:AK3,0))</f>
        <v>3.4</v>
      </c>
    </row>
    <row r="23" spans="1:52" x14ac:dyDescent="0.25">
      <c r="I23" s="12"/>
    </row>
    <row r="25" spans="1:52" s="14" customFormat="1" x14ac:dyDescent="0.25">
      <c r="A25" s="17"/>
      <c r="B25" s="18"/>
      <c r="C25" s="18"/>
      <c r="D25" s="18"/>
      <c r="E25" s="18"/>
      <c r="F25" s="18"/>
      <c r="G25" s="19"/>
      <c r="H25" s="18"/>
      <c r="I25" s="94" t="s">
        <v>98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s="14" customFormat="1" x14ac:dyDescent="0.25">
      <c r="A26" s="17" t="s">
        <v>74</v>
      </c>
      <c r="B26" s="18"/>
      <c r="C26" s="18"/>
      <c r="D26" s="18"/>
      <c r="E26" s="18"/>
      <c r="F26" s="18"/>
      <c r="G26" s="19"/>
      <c r="H26" s="18"/>
      <c r="I26" s="99" t="s">
        <v>2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s="14" customFormat="1" x14ac:dyDescent="0.25">
      <c r="A27" s="17"/>
      <c r="B27" s="24" t="s">
        <v>53</v>
      </c>
      <c r="C27" s="18"/>
      <c r="D27" s="18"/>
      <c r="E27" s="18"/>
      <c r="F27" s="18"/>
      <c r="G27" s="19"/>
      <c r="H27" s="18"/>
      <c r="I27" s="85" t="s">
        <v>3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s="14" customFormat="1" x14ac:dyDescent="0.25">
      <c r="A28" s="40"/>
      <c r="B28" s="60"/>
      <c r="C28" s="60" t="s">
        <v>73</v>
      </c>
      <c r="D28" s="60" t="s">
        <v>72</v>
      </c>
      <c r="E28" s="60"/>
      <c r="F28" s="68" t="s">
        <v>71</v>
      </c>
      <c r="G28" s="19"/>
      <c r="H28" s="18"/>
      <c r="I28" s="81">
        <f>INDEX(F30:F35,MATCH(D22,A30:A35,0))</f>
        <v>12.13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s="14" customFormat="1" x14ac:dyDescent="0.25">
      <c r="A29" s="42" t="s">
        <v>51</v>
      </c>
      <c r="B29" s="18" t="s">
        <v>52</v>
      </c>
      <c r="C29" s="18" t="s">
        <v>54</v>
      </c>
      <c r="D29" s="18" t="s">
        <v>61</v>
      </c>
      <c r="E29" s="18" t="s">
        <v>63</v>
      </c>
      <c r="F29" s="33" t="s">
        <v>70</v>
      </c>
      <c r="G29" s="19"/>
      <c r="H29" s="18"/>
      <c r="I29" s="18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s="14" customFormat="1" x14ac:dyDescent="0.25">
      <c r="A30" s="100">
        <v>1</v>
      </c>
      <c r="B30" s="18">
        <v>12</v>
      </c>
      <c r="C30" s="18" t="s">
        <v>55</v>
      </c>
      <c r="D30" s="18" t="s">
        <v>62</v>
      </c>
      <c r="E30" s="18" t="s">
        <v>64</v>
      </c>
      <c r="F30" s="33">
        <v>12.13</v>
      </c>
      <c r="G30" s="19"/>
      <c r="H30" s="18"/>
      <c r="I30" s="18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s="14" customFormat="1" x14ac:dyDescent="0.25">
      <c r="A31" s="100">
        <v>2</v>
      </c>
      <c r="B31" s="18">
        <v>12</v>
      </c>
      <c r="C31" s="18" t="s">
        <v>56</v>
      </c>
      <c r="D31" s="18" t="s">
        <v>62</v>
      </c>
      <c r="E31" s="18" t="s">
        <v>65</v>
      </c>
      <c r="F31" s="33">
        <v>12.24</v>
      </c>
      <c r="G31" s="19"/>
      <c r="H31" s="18"/>
      <c r="I31" s="18"/>
      <c r="J31" s="18"/>
      <c r="K31" s="18"/>
      <c r="L31" s="18"/>
      <c r="M31" s="18"/>
      <c r="N31" s="18"/>
      <c r="O31" s="18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s="14" customFormat="1" x14ac:dyDescent="0.25">
      <c r="A32" s="100">
        <v>3</v>
      </c>
      <c r="B32" s="18">
        <v>12</v>
      </c>
      <c r="C32" s="18" t="s">
        <v>57</v>
      </c>
      <c r="D32" s="18" t="s">
        <v>62</v>
      </c>
      <c r="E32" s="18" t="s">
        <v>66</v>
      </c>
      <c r="F32" s="33">
        <v>14.8</v>
      </c>
      <c r="G32" s="19"/>
      <c r="H32" s="18"/>
      <c r="I32" s="18"/>
      <c r="J32" s="18"/>
      <c r="K32" s="18"/>
      <c r="L32" s="18"/>
      <c r="M32" s="18"/>
      <c r="N32" s="18"/>
      <c r="O32" s="18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s="14" customFormat="1" x14ac:dyDescent="0.25">
      <c r="A33" s="100">
        <v>4</v>
      </c>
      <c r="B33" s="18">
        <v>10</v>
      </c>
      <c r="C33" s="18" t="s">
        <v>58</v>
      </c>
      <c r="D33" s="18" t="s">
        <v>62</v>
      </c>
      <c r="E33" s="18" t="s">
        <v>67</v>
      </c>
      <c r="F33" s="33">
        <v>10.9</v>
      </c>
      <c r="G33" s="19"/>
      <c r="H33" s="18"/>
      <c r="I33" s="18"/>
      <c r="J33" s="18"/>
      <c r="K33" s="18"/>
      <c r="L33" s="18"/>
      <c r="M33" s="18"/>
      <c r="N33" s="18"/>
      <c r="O33" s="18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s="14" customFormat="1" x14ac:dyDescent="0.25">
      <c r="A34" s="100">
        <v>5</v>
      </c>
      <c r="B34" s="18">
        <v>10</v>
      </c>
      <c r="C34" s="18" t="s">
        <v>59</v>
      </c>
      <c r="D34" s="18" t="s">
        <v>62</v>
      </c>
      <c r="E34" s="18" t="s">
        <v>68</v>
      </c>
      <c r="F34" s="33">
        <v>11.99</v>
      </c>
      <c r="G34" s="19"/>
      <c r="H34" s="18"/>
      <c r="I34" s="18"/>
      <c r="J34" s="18"/>
      <c r="K34" s="18"/>
      <c r="L34" s="18"/>
      <c r="M34" s="18"/>
      <c r="N34" s="18"/>
      <c r="O34" s="18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s="14" customFormat="1" x14ac:dyDescent="0.25">
      <c r="A35" s="101">
        <v>6</v>
      </c>
      <c r="B35" s="28">
        <v>8</v>
      </c>
      <c r="C35" s="28" t="s">
        <v>60</v>
      </c>
      <c r="D35" s="28" t="s">
        <v>62</v>
      </c>
      <c r="E35" s="28" t="s">
        <v>69</v>
      </c>
      <c r="F35" s="34">
        <v>7.65</v>
      </c>
      <c r="G35" s="19"/>
      <c r="H35" s="18"/>
      <c r="I35" s="18"/>
      <c r="J35" s="18"/>
      <c r="K35" s="18"/>
      <c r="L35" s="18"/>
      <c r="M35" s="18"/>
      <c r="N35" s="18"/>
      <c r="O35" s="18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s="14" customFormat="1" x14ac:dyDescent="0.25">
      <c r="A36" s="17" t="s">
        <v>75</v>
      </c>
      <c r="B36" s="18"/>
      <c r="C36" s="18"/>
      <c r="D36" s="18"/>
      <c r="E36" s="18"/>
      <c r="F36" s="18"/>
      <c r="G36" s="19"/>
      <c r="H36" s="18"/>
      <c r="I36" s="18"/>
      <c r="J36" s="18"/>
      <c r="K36" s="18"/>
      <c r="L36" s="18"/>
      <c r="M36" s="18"/>
      <c r="N36" s="18"/>
      <c r="O36" s="18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s="14" customFormat="1" x14ac:dyDescent="0.25">
      <c r="A37" s="17"/>
      <c r="B37" s="18"/>
      <c r="C37" s="18"/>
      <c r="D37" s="18"/>
      <c r="E37" s="18"/>
      <c r="F37" s="18"/>
      <c r="G37" s="19"/>
      <c r="H37" s="18"/>
      <c r="I37" s="18"/>
      <c r="J37" s="18"/>
      <c r="K37" s="18"/>
      <c r="L37" s="18"/>
      <c r="M37" s="18"/>
      <c r="N37" s="18"/>
      <c r="O37" s="18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s="14" customFormat="1" x14ac:dyDescent="0.25">
      <c r="A38" s="40" t="s">
        <v>40</v>
      </c>
      <c r="B38" s="60" t="s">
        <v>76</v>
      </c>
      <c r="C38" s="60" t="s">
        <v>77</v>
      </c>
      <c r="D38" s="60" t="s">
        <v>78</v>
      </c>
      <c r="E38" s="60" t="s">
        <v>79</v>
      </c>
      <c r="F38" s="60" t="s">
        <v>80</v>
      </c>
      <c r="G38" s="50" t="s">
        <v>81</v>
      </c>
      <c r="H38" s="18"/>
      <c r="I38" s="71" t="s">
        <v>76</v>
      </c>
      <c r="J38" s="71" t="s">
        <v>77</v>
      </c>
      <c r="K38" s="71" t="s">
        <v>78</v>
      </c>
      <c r="L38" s="71" t="s">
        <v>79</v>
      </c>
      <c r="M38" s="71" t="s">
        <v>80</v>
      </c>
      <c r="N38" s="71" t="s">
        <v>81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s="14" customFormat="1" x14ac:dyDescent="0.25">
      <c r="A39" s="100">
        <v>1</v>
      </c>
      <c r="B39" s="18">
        <v>380</v>
      </c>
      <c r="C39" s="18">
        <v>460</v>
      </c>
      <c r="D39" s="18">
        <v>320</v>
      </c>
      <c r="E39" s="18">
        <v>400</v>
      </c>
      <c r="F39" s="18">
        <v>200</v>
      </c>
      <c r="G39" s="26">
        <v>300</v>
      </c>
      <c r="H39" s="18"/>
      <c r="I39" s="103">
        <f>INDEX($B$39:$G$43,MATCH($D$22,$A$39:$A$43,0),COLUMNS($I$39:I39))</f>
        <v>380</v>
      </c>
      <c r="J39" s="103">
        <f>INDEX($B$39:$G$43,MATCH($D$22,$A$39:$A$43,0),COLUMNS($I$39:J39))</f>
        <v>460</v>
      </c>
      <c r="K39" s="103">
        <f>INDEX($B$39:$G$43,MATCH($D$22,$A$39:$A$43,0),COLUMNS($I$39:K39))</f>
        <v>320</v>
      </c>
      <c r="L39" s="103">
        <f>INDEX($B$39:$G$43,MATCH($D$22,$A$39:$A$43,0),COLUMNS($I$39:L39))</f>
        <v>400</v>
      </c>
      <c r="M39" s="103">
        <f>INDEX($B$39:$G$43,MATCH($D$22,$A$39:$A$43,0),COLUMNS($I$39:M39))</f>
        <v>200</v>
      </c>
      <c r="N39" s="103">
        <f>INDEX($B$39:$G$43,MATCH($D$22,$A$39:$A$43,0),COLUMNS($I$39:N39))</f>
        <v>300</v>
      </c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s="14" customFormat="1" x14ac:dyDescent="0.25">
      <c r="A40" s="100">
        <v>2</v>
      </c>
      <c r="B40" s="18">
        <v>380</v>
      </c>
      <c r="C40" s="18">
        <v>480</v>
      </c>
      <c r="D40" s="18">
        <v>320</v>
      </c>
      <c r="E40" s="18">
        <v>420</v>
      </c>
      <c r="F40" s="18">
        <v>200</v>
      </c>
      <c r="G40" s="26">
        <v>300</v>
      </c>
      <c r="H40" s="18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s="14" customFormat="1" x14ac:dyDescent="0.25">
      <c r="A41" s="100">
        <v>3</v>
      </c>
      <c r="B41" s="18">
        <v>380</v>
      </c>
      <c r="C41" s="18">
        <v>510</v>
      </c>
      <c r="D41" s="18">
        <v>330</v>
      </c>
      <c r="E41" s="18">
        <v>450</v>
      </c>
      <c r="F41" s="18">
        <v>200</v>
      </c>
      <c r="G41" s="26">
        <v>300</v>
      </c>
      <c r="H41" s="18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s="14" customFormat="1" x14ac:dyDescent="0.25">
      <c r="A42" s="100">
        <v>4</v>
      </c>
      <c r="B42" s="18">
        <v>380</v>
      </c>
      <c r="C42" s="18">
        <v>540</v>
      </c>
      <c r="D42" s="18">
        <v>330</v>
      </c>
      <c r="E42" s="18">
        <v>480</v>
      </c>
      <c r="F42" s="18">
        <v>200</v>
      </c>
      <c r="G42" s="26">
        <v>300</v>
      </c>
      <c r="H42" s="18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s="14" customFormat="1" x14ac:dyDescent="0.25">
      <c r="A43" s="101">
        <v>5</v>
      </c>
      <c r="B43" s="28">
        <v>380</v>
      </c>
      <c r="C43" s="28">
        <v>560</v>
      </c>
      <c r="D43" s="28">
        <v>340</v>
      </c>
      <c r="E43" s="28">
        <v>500</v>
      </c>
      <c r="F43" s="28">
        <v>200</v>
      </c>
      <c r="G43" s="29">
        <v>300</v>
      </c>
      <c r="H43" s="18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s="14" customFormat="1" x14ac:dyDescent="0.25">
      <c r="A44" s="17"/>
      <c r="B44" s="18"/>
      <c r="C44" s="18"/>
      <c r="D44" s="18"/>
      <c r="E44" s="18"/>
      <c r="F44" s="18"/>
      <c r="G44" s="19"/>
      <c r="H44" s="18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s="14" customFormat="1" x14ac:dyDescent="0.25">
      <c r="A45" s="17"/>
      <c r="B45" s="18"/>
      <c r="C45" s="18"/>
      <c r="D45" s="18"/>
      <c r="E45" s="18"/>
      <c r="F45" s="18"/>
      <c r="G45" s="19"/>
      <c r="H45" s="18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SC_@Fill</vt:lpstr>
      <vt:lpstr>SC_@Grade</vt:lpstr>
      <vt:lpstr>BC_@Fill</vt:lpstr>
      <vt:lpstr>BC_@Grade</vt:lpstr>
      <vt:lpstr>wardar_@fill</vt:lpstr>
      <vt:lpstr>wardar_@Grade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2020-12-11T12:55:58Z</dcterms:created>
  <dcterms:modified xsi:type="dcterms:W3CDTF">2021-03-30T14:13:51Z</dcterms:modified>
</cp:coreProperties>
</file>