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11205" windowHeight="5280" tabRatio="780" activeTab="1"/>
  </bookViews>
  <sheets>
    <sheet name="STA" sheetId="33" r:id="rId1"/>
    <sheet name="Pipe" sheetId="1" r:id="rId2"/>
    <sheet name="Slab" sheetId="3" r:id="rId3"/>
    <sheet name="Box" sheetId="2" r:id="rId4"/>
    <sheet name="Pipe Culvert" sheetId="24" state="hidden" r:id="rId5"/>
    <sheet name="Schedule" sheetId="32" r:id="rId6"/>
    <sheet name="Variabel data" sheetId="12" r:id="rId7"/>
    <sheet name="excav" sheetId="22" r:id="rId8"/>
    <sheet name="mov" sheetId="23" r:id="rId9"/>
  </sheets>
  <externalReferences>
    <externalReference r:id="rId10"/>
    <externalReference r:id="rId11"/>
  </externalReferences>
  <definedNames>
    <definedName name="_xlnm._FilterDatabase" localSheetId="1" hidden="1">Pipe!$E$20:$F$28</definedName>
    <definedName name="_xlnm._FilterDatabase" localSheetId="0" hidden="1">STA!$F$12:$F$14</definedName>
    <definedName name="a_double">#REF!</definedName>
    <definedName name="a_single">#REF!</definedName>
    <definedName name="a_title">#REF!</definedName>
    <definedName name="a_triple">#REF!</definedName>
    <definedName name="ai_double">#REF!</definedName>
    <definedName name="ai_single">#REF!</definedName>
    <definedName name="ai_title">#REF!</definedName>
    <definedName name="ai_triple">#REF!</definedName>
    <definedName name="b_double">#REF!</definedName>
    <definedName name="b_single">#REF!</definedName>
    <definedName name="b_title">#REF!</definedName>
    <definedName name="b_triple">#REF!</definedName>
    <definedName name="BF_Total">#REF!</definedName>
    <definedName name="c_double">#REF!</definedName>
    <definedName name="c_single">#REF!</definedName>
    <definedName name="c_title">#REF!</definedName>
    <definedName name="c_triple">#REF!</definedName>
    <definedName name="ChaExca">#REF!</definedName>
    <definedName name="Check">#REF!</definedName>
    <definedName name="ClsAConc">#REF!</definedName>
    <definedName name="ClsCConc">#REF!</definedName>
    <definedName name="ExcaHard">#REF!</definedName>
    <definedName name="ExcaSoft">#REF!</definedName>
    <definedName name="HYieldSteel">#REF!</definedName>
    <definedName name="Mason">#REF!</definedName>
    <definedName name="MildSteel">#REF!</definedName>
    <definedName name="o">#REF!</definedName>
    <definedName name="Railing">#REF!</definedName>
    <definedName name="RateRange">#REF!</definedName>
  </definedNames>
  <calcPr calcId="145621"/>
</workbook>
</file>

<file path=xl/calcChain.xml><?xml version="1.0" encoding="utf-8"?>
<calcChain xmlns="http://schemas.openxmlformats.org/spreadsheetml/2006/main">
  <c r="H11" i="33" l="1"/>
  <c r="H12" i="33" s="1"/>
  <c r="H13" i="33" s="1"/>
  <c r="H14" i="33" s="1"/>
  <c r="H15" i="33" s="1"/>
  <c r="H16" i="33" s="1"/>
  <c r="H17" i="33" s="1"/>
  <c r="H18" i="33" s="1"/>
  <c r="K6" i="22" l="1"/>
  <c r="J6" i="22"/>
  <c r="M17" i="22"/>
  <c r="L17" i="22"/>
  <c r="M16" i="22"/>
  <c r="L16" i="22"/>
  <c r="L11" i="33" l="1"/>
  <c r="L12" i="33" s="1"/>
  <c r="L13" i="33" s="1"/>
  <c r="L14" i="33" s="1"/>
  <c r="L15" i="33" s="1"/>
  <c r="L16" i="33" s="1"/>
  <c r="L17" i="33" s="1"/>
  <c r="L18" i="33" s="1"/>
  <c r="L19" i="33" s="1"/>
  <c r="L20" i="33" s="1"/>
  <c r="L21" i="33" s="1"/>
  <c r="L22" i="33" s="1"/>
  <c r="L23" i="33" s="1"/>
  <c r="L24" i="33" s="1"/>
  <c r="L25" i="33" s="1"/>
  <c r="L26" i="33" s="1"/>
  <c r="L27" i="33" s="1"/>
  <c r="L28" i="33" s="1"/>
  <c r="L29" i="33" s="1"/>
  <c r="L30" i="33" s="1"/>
  <c r="L31" i="33" s="1"/>
  <c r="L32" i="33" s="1"/>
  <c r="L33" i="33" s="1"/>
  <c r="L34" i="33" s="1"/>
  <c r="L35" i="33" s="1"/>
  <c r="L36" i="33" s="1"/>
  <c r="H22" i="33" l="1"/>
  <c r="H23" i="33" s="1"/>
  <c r="H24" i="33" s="1"/>
  <c r="H25" i="33" s="1"/>
  <c r="H26" i="33" s="1"/>
  <c r="H27" i="33" s="1"/>
  <c r="H28" i="33" s="1"/>
  <c r="H29" i="33" s="1"/>
  <c r="H30" i="33" s="1"/>
  <c r="H31" i="33" s="1"/>
  <c r="H32" i="33" s="1"/>
  <c r="H33" i="33" s="1"/>
  <c r="H34" i="33" s="1"/>
  <c r="H35" i="33" s="1"/>
  <c r="H36" i="33" s="1"/>
  <c r="H37" i="33" s="1"/>
  <c r="H38" i="33" s="1"/>
  <c r="H39" i="33" s="1"/>
  <c r="H40" i="33" s="1"/>
  <c r="H41" i="33" s="1"/>
  <c r="H42" i="33" s="1"/>
  <c r="H43" i="33" s="1"/>
  <c r="H44" i="33" s="1"/>
  <c r="H45" i="33" s="1"/>
  <c r="H46" i="33" s="1"/>
  <c r="H47" i="33" s="1"/>
  <c r="H48" i="33" s="1"/>
  <c r="H49" i="33" s="1"/>
  <c r="GG7" i="32" l="1"/>
  <c r="P7" i="32" l="1"/>
  <c r="E10" i="2"/>
  <c r="E14" i="3"/>
  <c r="U7" i="32"/>
  <c r="T7" i="32"/>
  <c r="S7" i="32"/>
  <c r="R7" i="32"/>
  <c r="B7" i="32"/>
  <c r="C7" i="32"/>
  <c r="D7" i="32"/>
  <c r="I53" i="23" l="1"/>
  <c r="H53" i="23"/>
  <c r="J10" i="33" l="1"/>
  <c r="J11" i="33" s="1"/>
  <c r="J12" i="33" l="1"/>
  <c r="J13" i="33" s="1"/>
  <c r="J14" i="33" s="1"/>
  <c r="J15" i="33" s="1"/>
  <c r="J16" i="33" s="1"/>
  <c r="J17" i="33" s="1"/>
  <c r="J18" i="33" s="1"/>
  <c r="J19" i="33" s="1"/>
  <c r="J20" i="33" s="1"/>
  <c r="J21" i="33" s="1"/>
  <c r="J22" i="33" s="1"/>
  <c r="J23" i="33" s="1"/>
  <c r="J24" i="33" s="1"/>
  <c r="J25" i="33" s="1"/>
  <c r="J26" i="33" s="1"/>
  <c r="J27" i="33" s="1"/>
  <c r="J28" i="33" s="1"/>
  <c r="J29" i="33" s="1"/>
  <c r="J30" i="33" s="1"/>
  <c r="J31" i="33" s="1"/>
  <c r="J32" i="33" s="1"/>
  <c r="J33" i="33" s="1"/>
  <c r="J34" i="33" s="1"/>
  <c r="J35" i="33" s="1"/>
  <c r="J36" i="33" s="1"/>
  <c r="J37" i="33" s="1"/>
  <c r="J38" i="33" s="1"/>
  <c r="J39" i="33" s="1"/>
  <c r="J40" i="33" s="1"/>
  <c r="J41" i="33" s="1"/>
  <c r="J42" i="33" s="1"/>
  <c r="J43" i="33" s="1"/>
  <c r="J44" i="33" s="1"/>
  <c r="E13" i="2" l="1"/>
  <c r="I48" i="23"/>
  <c r="H48" i="23"/>
  <c r="I45" i="23" l="1"/>
  <c r="H45" i="23"/>
  <c r="I42" i="23"/>
  <c r="H42" i="23"/>
  <c r="I18" i="23" l="1"/>
  <c r="H18" i="23"/>
  <c r="A4" i="23" l="1"/>
  <c r="I30" i="3" l="1"/>
  <c r="AJ12" i="32" l="1"/>
  <c r="AN12" i="32"/>
  <c r="BF12" i="32"/>
  <c r="BG12" i="32"/>
  <c r="BH12" i="32"/>
  <c r="BI12" i="32"/>
  <c r="AZ7" i="32" l="1"/>
  <c r="AZ12" i="32" s="1"/>
  <c r="AR7" i="32" l="1"/>
  <c r="AR12" i="32" s="1"/>
  <c r="AT7" i="32"/>
  <c r="AT12" i="32" s="1"/>
  <c r="AS7" i="32"/>
  <c r="AS12" i="32" s="1"/>
  <c r="AQ7" i="32"/>
  <c r="AQ12" i="32" s="1"/>
  <c r="AP7" i="32"/>
  <c r="AP12" i="32" s="1"/>
  <c r="AO7" i="32"/>
  <c r="AO12" i="32" s="1"/>
  <c r="AC7" i="32"/>
  <c r="W7" i="32"/>
  <c r="V7" i="32"/>
  <c r="Q7" i="32"/>
  <c r="F7" i="32"/>
  <c r="CX7" i="32" l="1"/>
  <c r="EQ7" i="32"/>
  <c r="ER7" i="32"/>
  <c r="EO7" i="32"/>
  <c r="EP7" i="32"/>
  <c r="GS7" i="32"/>
  <c r="GV2" i="32"/>
  <c r="GQ6" i="32" s="1"/>
  <c r="GQ7" i="32" s="1"/>
  <c r="GU2" i="32"/>
  <c r="GD7" i="32"/>
  <c r="FZ7" i="32"/>
  <c r="FY7" i="32"/>
  <c r="FX7" i="32"/>
  <c r="FW7" i="32"/>
  <c r="FV7" i="32"/>
  <c r="FU7" i="32"/>
  <c r="FT7" i="32"/>
  <c r="FS7" i="32"/>
  <c r="FQ7" i="32"/>
  <c r="FO7" i="32"/>
  <c r="GA7" i="32" l="1"/>
  <c r="GB7" i="32"/>
  <c r="FH7" i="32" l="1"/>
  <c r="EP3" i="32"/>
  <c r="EO3" i="32"/>
  <c r="EN3" i="32"/>
  <c r="FK2" i="32"/>
  <c r="FF6" i="32" s="1"/>
  <c r="FF7" i="32" s="1"/>
  <c r="FJ2" i="32"/>
  <c r="EP2" i="32"/>
  <c r="EO2" i="32"/>
  <c r="EN2" i="32"/>
  <c r="DI7" i="32"/>
  <c r="DH7" i="32"/>
  <c r="DG7" i="32"/>
  <c r="DF7" i="32"/>
  <c r="DE7" i="32"/>
  <c r="DD7" i="32"/>
  <c r="CU7" i="32"/>
  <c r="CS7" i="32"/>
  <c r="CT7" i="32" s="1"/>
  <c r="CP7" i="32"/>
  <c r="CQ7" i="32" s="1"/>
  <c r="BD7" i="32" s="1"/>
  <c r="F27" i="1" s="1"/>
  <c r="CG7" i="32"/>
  <c r="CE7" i="32"/>
  <c r="CD7" i="32"/>
  <c r="CB7" i="32"/>
  <c r="DM7" i="32" s="1"/>
  <c r="BY7" i="32"/>
  <c r="CA7" i="32" s="1"/>
  <c r="BV7" i="32"/>
  <c r="BX7" i="32" s="1"/>
  <c r="BT7" i="32"/>
  <c r="BU7" i="32" s="1"/>
  <c r="BR7" i="32"/>
  <c r="BS7" i="32" s="1"/>
  <c r="BQ7" i="32"/>
  <c r="BE7" i="32"/>
  <c r="BE12" i="32" s="1"/>
  <c r="AM7" i="32"/>
  <c r="AM12" i="32" s="1"/>
  <c r="AL7" i="32"/>
  <c r="AL12" i="32" s="1"/>
  <c r="AK7" i="32"/>
  <c r="AK12" i="32" s="1"/>
  <c r="BD12" i="32" l="1"/>
  <c r="DV7" i="32"/>
  <c r="DP7" i="32"/>
  <c r="EB7" i="32" s="1"/>
  <c r="DQ7" i="32"/>
  <c r="DY7" i="32"/>
  <c r="EN7" i="32"/>
  <c r="DO7" i="32"/>
  <c r="FI6" i="32"/>
  <c r="FI7" i="32" s="1"/>
  <c r="EF7" i="32"/>
  <c r="DC7" i="32"/>
  <c r="CF7" i="32"/>
  <c r="CH7" i="32"/>
  <c r="CI7" i="32" s="1"/>
  <c r="DA7" i="32"/>
  <c r="DL7" i="32" s="1"/>
  <c r="DN7" i="32" s="1"/>
  <c r="CZ7" i="32"/>
  <c r="DK7" i="32" s="1"/>
  <c r="BA7" i="32" s="1"/>
  <c r="BA12" i="32" s="1"/>
  <c r="CV7" i="32"/>
  <c r="DB7" i="32"/>
  <c r="AV7" i="32" s="1"/>
  <c r="AV12" i="32" s="1"/>
  <c r="DJ7" i="32"/>
  <c r="CC7" i="32"/>
  <c r="X4" i="24"/>
  <c r="AU7" i="32" l="1"/>
  <c r="AU12" i="32" s="1"/>
  <c r="AY7" i="32"/>
  <c r="AY12" i="32" s="1"/>
  <c r="AW7" i="32"/>
  <c r="AW12" i="32" s="1"/>
  <c r="AX7" i="32"/>
  <c r="AX12" i="32" s="1"/>
  <c r="DW7" i="32"/>
  <c r="CK7" i="32"/>
  <c r="FR7" i="32"/>
  <c r="GC7" i="32" s="1"/>
  <c r="GE7" i="32" s="1"/>
  <c r="DX7" i="32"/>
  <c r="EA7" i="32"/>
  <c r="EH7" i="32"/>
  <c r="ED7" i="32"/>
  <c r="EJ7" i="32"/>
  <c r="EL7" i="32" s="1"/>
  <c r="EG7" i="32"/>
  <c r="EE7" i="32"/>
  <c r="EI7" i="32"/>
  <c r="EK7" i="32" s="1"/>
  <c r="E15" i="1"/>
  <c r="E14" i="1"/>
  <c r="EM7" i="32" l="1"/>
  <c r="DZ7" i="32"/>
  <c r="AH7" i="32" s="1"/>
  <c r="AH12" i="32" l="1"/>
  <c r="GT6" i="32"/>
  <c r="GT7" i="32" s="1"/>
  <c r="I28" i="2"/>
  <c r="A7" i="3" l="1"/>
  <c r="R38" i="24" l="1"/>
  <c r="I28" i="3"/>
  <c r="I29" i="3"/>
  <c r="E11" i="2" l="1"/>
  <c r="E12" i="3"/>
  <c r="E11" i="1"/>
  <c r="E7" i="32" l="1"/>
  <c r="I27" i="1" l="1"/>
  <c r="A6" i="2" l="1"/>
  <c r="E12" i="2" l="1"/>
  <c r="E12" i="1"/>
  <c r="E13" i="3"/>
  <c r="B1" i="1" l="1"/>
  <c r="E14" i="2" l="1"/>
  <c r="E15" i="2"/>
  <c r="S6" i="2" l="1"/>
  <c r="R7" i="2"/>
  <c r="S7" i="2" s="1"/>
  <c r="R8" i="2" l="1"/>
  <c r="E9" i="2"/>
  <c r="A11" i="23"/>
  <c r="S8" i="2" l="1"/>
  <c r="R9" i="2"/>
  <c r="R10" i="2" l="1"/>
  <c r="S9" i="2"/>
  <c r="E11" i="3"/>
  <c r="S10" i="2" l="1"/>
  <c r="R11" i="2"/>
  <c r="H13" i="3"/>
  <c r="E21" i="23"/>
  <c r="R12" i="2" l="1"/>
  <c r="S12" i="2" s="1"/>
  <c r="S11" i="2"/>
  <c r="I29" i="2"/>
  <c r="I27" i="2"/>
  <c r="I26" i="2"/>
  <c r="I25" i="2"/>
  <c r="I24" i="2"/>
  <c r="I23" i="2"/>
  <c r="I22" i="2"/>
  <c r="I21" i="2"/>
  <c r="I19" i="2"/>
  <c r="B18" i="2"/>
  <c r="H16" i="2"/>
  <c r="H15" i="2"/>
  <c r="H14" i="2"/>
  <c r="H13" i="2"/>
  <c r="H12" i="2"/>
  <c r="H10" i="2"/>
  <c r="H9" i="2"/>
  <c r="H8" i="2"/>
  <c r="H7" i="2"/>
  <c r="B19" i="3"/>
  <c r="H11" i="2" l="1"/>
  <c r="W4" i="24" l="1"/>
  <c r="F42" i="23" l="1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A7" i="23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D673" i="22"/>
  <c r="E673" i="22" s="1"/>
  <c r="D672" i="22"/>
  <c r="E672" i="22" s="1"/>
  <c r="D671" i="22"/>
  <c r="E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D597" i="22"/>
  <c r="E597" i="22" s="1"/>
  <c r="D596" i="22"/>
  <c r="E596" i="22" s="1"/>
  <c r="D595" i="22"/>
  <c r="E595" i="22" s="1"/>
  <c r="D594" i="22"/>
  <c r="E594" i="22" s="1"/>
  <c r="D593" i="22"/>
  <c r="E593" i="22" s="1"/>
  <c r="D592" i="22"/>
  <c r="E592" i="22" s="1"/>
  <c r="D591" i="22"/>
  <c r="E591" i="22" s="1"/>
  <c r="D590" i="22"/>
  <c r="E590" i="22" s="1"/>
  <c r="D589" i="22"/>
  <c r="E589" i="22" s="1"/>
  <c r="D588" i="22"/>
  <c r="E588" i="22" s="1"/>
  <c r="D587" i="22"/>
  <c r="E587" i="22" s="1"/>
  <c r="D586" i="22"/>
  <c r="E586" i="22" s="1"/>
  <c r="D585" i="22"/>
  <c r="E585" i="22" s="1"/>
  <c r="D584" i="22"/>
  <c r="E584" i="22" s="1"/>
  <c r="D583" i="22"/>
  <c r="E583" i="22" s="1"/>
  <c r="D582" i="22"/>
  <c r="E582" i="22" s="1"/>
  <c r="D581" i="22"/>
  <c r="E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D573" i="22"/>
  <c r="E573" i="22" s="1"/>
  <c r="D572" i="22"/>
  <c r="E572" i="22" s="1"/>
  <c r="D571" i="22"/>
  <c r="E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D373" i="22"/>
  <c r="E373" i="22" s="1"/>
  <c r="D372" i="22"/>
  <c r="E372" i="22" s="1"/>
  <c r="D371" i="22"/>
  <c r="E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D105" i="22"/>
  <c r="E105" i="22" s="1"/>
  <c r="D104" i="22"/>
  <c r="E104" i="22" s="1"/>
  <c r="D103" i="22"/>
  <c r="E103" i="22" s="1"/>
  <c r="D102" i="22"/>
  <c r="E102" i="22" s="1"/>
  <c r="D101" i="22"/>
  <c r="E101" i="22" s="1"/>
  <c r="D100" i="22"/>
  <c r="E100" i="22" s="1"/>
  <c r="D99" i="22"/>
  <c r="E99" i="22" s="1"/>
  <c r="D98" i="22"/>
  <c r="E98" i="22" s="1"/>
  <c r="D97" i="22"/>
  <c r="E97" i="22" s="1"/>
  <c r="D96" i="22"/>
  <c r="E96" i="22" s="1"/>
  <c r="D95" i="22"/>
  <c r="E95" i="22" s="1"/>
  <c r="D94" i="22"/>
  <c r="E94" i="22" s="1"/>
  <c r="D93" i="22"/>
  <c r="E93" i="22" s="1"/>
  <c r="D92" i="22"/>
  <c r="E92" i="22" s="1"/>
  <c r="D91" i="22"/>
  <c r="E91" i="22" s="1"/>
  <c r="D90" i="22"/>
  <c r="E90" i="22" s="1"/>
  <c r="D89" i="22"/>
  <c r="E89" i="22" s="1"/>
  <c r="D88" i="22"/>
  <c r="E88" i="22" s="1"/>
  <c r="D87" i="22"/>
  <c r="E87" i="22" s="1"/>
  <c r="D86" i="22"/>
  <c r="E86" i="22" s="1"/>
  <c r="D85" i="22"/>
  <c r="E85" i="22" s="1"/>
  <c r="D84" i="22"/>
  <c r="E84" i="22" s="1"/>
  <c r="D83" i="22"/>
  <c r="E83" i="22" s="1"/>
  <c r="D82" i="22"/>
  <c r="E82" i="22" s="1"/>
  <c r="D81" i="22"/>
  <c r="E81" i="22" s="1"/>
  <c r="D80" i="22"/>
  <c r="E80" i="22" s="1"/>
  <c r="D79" i="22"/>
  <c r="E79" i="22" s="1"/>
  <c r="D78" i="22"/>
  <c r="E78" i="22" s="1"/>
  <c r="D77" i="22"/>
  <c r="E77" i="22" s="1"/>
  <c r="D76" i="22"/>
  <c r="E76" i="22" s="1"/>
  <c r="D75" i="22"/>
  <c r="E75" i="22" s="1"/>
  <c r="D74" i="22"/>
  <c r="E74" i="22" s="1"/>
  <c r="D73" i="22"/>
  <c r="E73" i="22" s="1"/>
  <c r="D72" i="22"/>
  <c r="E72" i="22" s="1"/>
  <c r="D71" i="22"/>
  <c r="E71" i="22" s="1"/>
  <c r="D70" i="22"/>
  <c r="E70" i="22" s="1"/>
  <c r="D69" i="22"/>
  <c r="E69" i="22" s="1"/>
  <c r="D68" i="22"/>
  <c r="E68" i="22" s="1"/>
  <c r="D67" i="22"/>
  <c r="E67" i="22" s="1"/>
  <c r="D66" i="22"/>
  <c r="E66" i="22" s="1"/>
  <c r="D65" i="22"/>
  <c r="E65" i="22" s="1"/>
  <c r="D64" i="22"/>
  <c r="E64" i="22" s="1"/>
  <c r="D63" i="22"/>
  <c r="E63" i="22" s="1"/>
  <c r="D62" i="22"/>
  <c r="E62" i="22" s="1"/>
  <c r="D61" i="22"/>
  <c r="E61" i="22" s="1"/>
  <c r="D60" i="22"/>
  <c r="E60" i="22" s="1"/>
  <c r="D59" i="22"/>
  <c r="E59" i="22" s="1"/>
  <c r="D58" i="22"/>
  <c r="E58" i="22" s="1"/>
  <c r="D57" i="22"/>
  <c r="E57" i="22" s="1"/>
  <c r="D56" i="22"/>
  <c r="E56" i="22" s="1"/>
  <c r="D55" i="22"/>
  <c r="E55" i="22" s="1"/>
  <c r="D54" i="22"/>
  <c r="E54" i="22" s="1"/>
  <c r="D53" i="22"/>
  <c r="E53" i="22" s="1"/>
  <c r="D52" i="22"/>
  <c r="E52" i="22" s="1"/>
  <c r="D51" i="22"/>
  <c r="E51" i="22" s="1"/>
  <c r="D50" i="22"/>
  <c r="E50" i="22" s="1"/>
  <c r="D49" i="22"/>
  <c r="E49" i="22" s="1"/>
  <c r="D48" i="22"/>
  <c r="E48" i="22" s="1"/>
  <c r="D47" i="22"/>
  <c r="E47" i="22" s="1"/>
  <c r="D46" i="22"/>
  <c r="E46" i="22" s="1"/>
  <c r="D45" i="22"/>
  <c r="E45" i="22" s="1"/>
  <c r="D44" i="22"/>
  <c r="E44" i="22" s="1"/>
  <c r="D43" i="22"/>
  <c r="E43" i="22" s="1"/>
  <c r="D42" i="22"/>
  <c r="E42" i="22" s="1"/>
  <c r="D41" i="22"/>
  <c r="E41" i="22" s="1"/>
  <c r="D40" i="22"/>
  <c r="E40" i="22" s="1"/>
  <c r="D39" i="22"/>
  <c r="E39" i="22" s="1"/>
  <c r="D38" i="22"/>
  <c r="E38" i="22" s="1"/>
  <c r="D37" i="22"/>
  <c r="E37" i="22" s="1"/>
  <c r="D36" i="22"/>
  <c r="E36" i="22" s="1"/>
  <c r="K35" i="22"/>
  <c r="D35" i="22"/>
  <c r="E35" i="22" s="1"/>
  <c r="K34" i="22"/>
  <c r="D34" i="22"/>
  <c r="E34" i="22" s="1"/>
  <c r="K33" i="22"/>
  <c r="D33" i="22"/>
  <c r="E33" i="22" s="1"/>
  <c r="K32" i="22"/>
  <c r="D32" i="22"/>
  <c r="E32" i="22" s="1"/>
  <c r="K31" i="22"/>
  <c r="D31" i="22"/>
  <c r="E31" i="22" s="1"/>
  <c r="D30" i="22"/>
  <c r="E30" i="22" s="1"/>
  <c r="D29" i="22"/>
  <c r="E29" i="22" s="1"/>
  <c r="D28" i="22"/>
  <c r="E28" i="22" s="1"/>
  <c r="D27" i="22"/>
  <c r="E27" i="22" s="1"/>
  <c r="D26" i="22"/>
  <c r="E26" i="22" s="1"/>
  <c r="D25" i="22"/>
  <c r="E25" i="22" s="1"/>
  <c r="D24" i="22"/>
  <c r="E24" i="22" s="1"/>
  <c r="D23" i="22"/>
  <c r="E23" i="22" s="1"/>
  <c r="D22" i="22"/>
  <c r="E22" i="22" s="1"/>
  <c r="D21" i="22"/>
  <c r="E21" i="22" s="1"/>
  <c r="D20" i="22"/>
  <c r="E20" i="22" s="1"/>
  <c r="H5" i="22"/>
  <c r="F5" i="22"/>
  <c r="G5" i="22" s="1"/>
  <c r="B2" i="12"/>
  <c r="G90" i="24"/>
  <c r="J90" i="24" s="1"/>
  <c r="A90" i="24"/>
  <c r="G89" i="24"/>
  <c r="L89" i="24" s="1"/>
  <c r="A89" i="24"/>
  <c r="F88" i="24"/>
  <c r="G88" i="24" s="1"/>
  <c r="L88" i="24" s="1"/>
  <c r="A88" i="24"/>
  <c r="G87" i="24"/>
  <c r="J87" i="24" s="1"/>
  <c r="A87" i="24"/>
  <c r="G86" i="24"/>
  <c r="A86" i="24"/>
  <c r="F85" i="24"/>
  <c r="G85" i="24" s="1"/>
  <c r="A85" i="24"/>
  <c r="G84" i="24"/>
  <c r="L84" i="24" s="1"/>
  <c r="A84" i="24"/>
  <c r="G83" i="24"/>
  <c r="H83" i="24" s="1"/>
  <c r="A83" i="24"/>
  <c r="L82" i="24"/>
  <c r="J82" i="24"/>
  <c r="I82" i="24"/>
  <c r="H82" i="24"/>
  <c r="A82" i="24"/>
  <c r="G78" i="24"/>
  <c r="F78" i="24"/>
  <c r="A78" i="24"/>
  <c r="G77" i="24"/>
  <c r="F77" i="24"/>
  <c r="A77" i="24"/>
  <c r="G76" i="24"/>
  <c r="F76" i="24"/>
  <c r="A76" i="24"/>
  <c r="G75" i="24"/>
  <c r="F75" i="24"/>
  <c r="A75" i="24"/>
  <c r="G74" i="24"/>
  <c r="F74" i="24"/>
  <c r="A74" i="24"/>
  <c r="G73" i="24"/>
  <c r="F73" i="24"/>
  <c r="A73" i="24"/>
  <c r="G72" i="24"/>
  <c r="F72" i="24"/>
  <c r="A72" i="24"/>
  <c r="G71" i="24"/>
  <c r="F71" i="24"/>
  <c r="A71" i="24"/>
  <c r="G70" i="24"/>
  <c r="F70" i="24"/>
  <c r="A70" i="24"/>
  <c r="G69" i="24"/>
  <c r="F69" i="24"/>
  <c r="A69" i="24"/>
  <c r="G68" i="24"/>
  <c r="F68" i="24"/>
  <c r="A68" i="24"/>
  <c r="G67" i="24"/>
  <c r="F67" i="24"/>
  <c r="A67" i="24"/>
  <c r="G66" i="24"/>
  <c r="F66" i="24"/>
  <c r="A66" i="24"/>
  <c r="G65" i="24"/>
  <c r="F65" i="24"/>
  <c r="A65" i="24"/>
  <c r="G64" i="24"/>
  <c r="F64" i="24"/>
  <c r="A64" i="24"/>
  <c r="W63" i="24"/>
  <c r="J63" i="24"/>
  <c r="F63" i="24"/>
  <c r="A63" i="24"/>
  <c r="W62" i="24"/>
  <c r="J62" i="24"/>
  <c r="F62" i="24"/>
  <c r="H62" i="24" s="1"/>
  <c r="A62" i="24"/>
  <c r="W61" i="24"/>
  <c r="J61" i="24"/>
  <c r="F61" i="24"/>
  <c r="H61" i="24" s="1"/>
  <c r="A61" i="24"/>
  <c r="W60" i="24"/>
  <c r="J60" i="24"/>
  <c r="F60" i="24"/>
  <c r="L60" i="24" s="1"/>
  <c r="A60" i="24"/>
  <c r="W59" i="24"/>
  <c r="J59" i="24"/>
  <c r="F59" i="24"/>
  <c r="H59" i="24" s="1"/>
  <c r="A59" i="24"/>
  <c r="W58" i="24"/>
  <c r="J58" i="24"/>
  <c r="F58" i="24"/>
  <c r="H58" i="24" s="1"/>
  <c r="V58" i="24" s="1"/>
  <c r="A58" i="24"/>
  <c r="W57" i="24"/>
  <c r="J57" i="24"/>
  <c r="F57" i="24"/>
  <c r="L57" i="24" s="1"/>
  <c r="A57" i="24"/>
  <c r="W56" i="24"/>
  <c r="J56" i="24"/>
  <c r="F56" i="24"/>
  <c r="H56" i="24" s="1"/>
  <c r="V56" i="24" s="1"/>
  <c r="A56" i="24"/>
  <c r="W55" i="24"/>
  <c r="J55" i="24"/>
  <c r="F55" i="24"/>
  <c r="H55" i="24" s="1"/>
  <c r="V55" i="24" s="1"/>
  <c r="A55" i="24"/>
  <c r="W54" i="24"/>
  <c r="J54" i="24"/>
  <c r="F54" i="24"/>
  <c r="L54" i="24" s="1"/>
  <c r="A54" i="24"/>
  <c r="W53" i="24"/>
  <c r="J53" i="24"/>
  <c r="F53" i="24"/>
  <c r="H53" i="24" s="1"/>
  <c r="A53" i="24"/>
  <c r="W52" i="24"/>
  <c r="J52" i="24"/>
  <c r="F52" i="24"/>
  <c r="H52" i="24" s="1"/>
  <c r="V52" i="24" s="1"/>
  <c r="A52" i="24"/>
  <c r="W51" i="24"/>
  <c r="J51" i="24"/>
  <c r="F51" i="24"/>
  <c r="L51" i="24" s="1"/>
  <c r="A51" i="24"/>
  <c r="W50" i="24"/>
  <c r="J50" i="24"/>
  <c r="F50" i="24"/>
  <c r="H50" i="24" s="1"/>
  <c r="V50" i="24" s="1"/>
  <c r="A50" i="24"/>
  <c r="W49" i="24"/>
  <c r="J49" i="24"/>
  <c r="F49" i="24"/>
  <c r="A49" i="24"/>
  <c r="W48" i="24"/>
  <c r="F48" i="24"/>
  <c r="L48" i="24" s="1"/>
  <c r="O48" i="24" s="1"/>
  <c r="A48" i="24"/>
  <c r="W47" i="24"/>
  <c r="F47" i="24"/>
  <c r="L47" i="24" s="1"/>
  <c r="O47" i="24" s="1"/>
  <c r="A47" i="24"/>
  <c r="W46" i="24"/>
  <c r="F46" i="24"/>
  <c r="A46" i="24"/>
  <c r="W45" i="24"/>
  <c r="F45" i="24"/>
  <c r="L45" i="24" s="1"/>
  <c r="O45" i="24" s="1"/>
  <c r="A45" i="24"/>
  <c r="W44" i="24"/>
  <c r="F44" i="24"/>
  <c r="L44" i="24" s="1"/>
  <c r="O44" i="24" s="1"/>
  <c r="A44" i="24"/>
  <c r="W43" i="24"/>
  <c r="F43" i="24"/>
  <c r="L43" i="24" s="1"/>
  <c r="A43" i="24"/>
  <c r="W42" i="24"/>
  <c r="F42" i="24"/>
  <c r="A42" i="24"/>
  <c r="W41" i="24"/>
  <c r="F41" i="24"/>
  <c r="G41" i="24" s="1"/>
  <c r="A41" i="24"/>
  <c r="W40" i="24"/>
  <c r="F40" i="24"/>
  <c r="L40" i="24" s="1"/>
  <c r="A40" i="24"/>
  <c r="W39" i="24"/>
  <c r="F39" i="24"/>
  <c r="A39" i="24"/>
  <c r="W38" i="24"/>
  <c r="F38" i="24"/>
  <c r="G38" i="24" s="1"/>
  <c r="A38" i="24"/>
  <c r="W37" i="24"/>
  <c r="F37" i="24"/>
  <c r="L37" i="24" s="1"/>
  <c r="A37" i="24"/>
  <c r="W36" i="24"/>
  <c r="F36" i="24"/>
  <c r="A36" i="24"/>
  <c r="W35" i="24"/>
  <c r="F35" i="24"/>
  <c r="G35" i="24" s="1"/>
  <c r="A35" i="24"/>
  <c r="W34" i="24"/>
  <c r="F34" i="24"/>
  <c r="G34" i="24" s="1"/>
  <c r="A34" i="24"/>
  <c r="W33" i="24"/>
  <c r="F33" i="24"/>
  <c r="L33" i="24" s="1"/>
  <c r="A33" i="24"/>
  <c r="W32" i="24"/>
  <c r="F32" i="24"/>
  <c r="L32" i="24" s="1"/>
  <c r="A32" i="24"/>
  <c r="W31" i="24"/>
  <c r="F31" i="24"/>
  <c r="L31" i="24" s="1"/>
  <c r="M31" i="24" s="1"/>
  <c r="P31" i="24" s="1"/>
  <c r="A31" i="24"/>
  <c r="W30" i="24"/>
  <c r="F30" i="24"/>
  <c r="H30" i="24" s="1"/>
  <c r="A30" i="24"/>
  <c r="W29" i="24"/>
  <c r="F29" i="24"/>
  <c r="A29" i="24"/>
  <c r="W28" i="24"/>
  <c r="F28" i="24"/>
  <c r="I28" i="24" s="1"/>
  <c r="V28" i="24" s="1"/>
  <c r="A28" i="24"/>
  <c r="W27" i="24"/>
  <c r="F27" i="24"/>
  <c r="L27" i="24" s="1"/>
  <c r="M27" i="24" s="1"/>
  <c r="P27" i="24" s="1"/>
  <c r="T27" i="24" s="1"/>
  <c r="A27" i="24"/>
  <c r="W26" i="24"/>
  <c r="F26" i="24"/>
  <c r="A26" i="24"/>
  <c r="W25" i="24"/>
  <c r="F25" i="24"/>
  <c r="L25" i="24" s="1"/>
  <c r="O25" i="24" s="1"/>
  <c r="A25" i="24"/>
  <c r="W24" i="24"/>
  <c r="F24" i="24"/>
  <c r="L24" i="24" s="1"/>
  <c r="A24" i="24"/>
  <c r="W23" i="24"/>
  <c r="F23" i="24"/>
  <c r="I23" i="24" s="1"/>
  <c r="A23" i="24"/>
  <c r="W22" i="24"/>
  <c r="F22" i="24"/>
  <c r="A22" i="24"/>
  <c r="W21" i="24"/>
  <c r="F21" i="24"/>
  <c r="H21" i="24" s="1"/>
  <c r="A21" i="24"/>
  <c r="W20" i="24"/>
  <c r="F20" i="24"/>
  <c r="L20" i="24" s="1"/>
  <c r="A20" i="24"/>
  <c r="W19" i="24"/>
  <c r="F19" i="24"/>
  <c r="L19" i="24" s="1"/>
  <c r="M19" i="24" s="1"/>
  <c r="P19" i="24" s="1"/>
  <c r="A19" i="24"/>
  <c r="W18" i="24"/>
  <c r="F18" i="24"/>
  <c r="J18" i="24" s="1"/>
  <c r="A18" i="24"/>
  <c r="W17" i="24"/>
  <c r="F17" i="24"/>
  <c r="L17" i="24" s="1"/>
  <c r="O17" i="24" s="1"/>
  <c r="A17" i="24"/>
  <c r="W16" i="24"/>
  <c r="F16" i="24"/>
  <c r="G16" i="24" s="1"/>
  <c r="A16" i="24"/>
  <c r="W15" i="24"/>
  <c r="F15" i="24"/>
  <c r="H15" i="24" s="1"/>
  <c r="A15" i="24"/>
  <c r="W14" i="24"/>
  <c r="F14" i="24"/>
  <c r="L14" i="24" s="1"/>
  <c r="O14" i="24" s="1"/>
  <c r="A14" i="24"/>
  <c r="W13" i="24"/>
  <c r="F13" i="24"/>
  <c r="L13" i="24" s="1"/>
  <c r="O13" i="24" s="1"/>
  <c r="A13" i="24"/>
  <c r="W12" i="24"/>
  <c r="F12" i="24"/>
  <c r="H12" i="24" s="1"/>
  <c r="A12" i="24"/>
  <c r="W11" i="24"/>
  <c r="F11" i="24"/>
  <c r="L11" i="24" s="1"/>
  <c r="O11" i="24" s="1"/>
  <c r="A11" i="24"/>
  <c r="W10" i="24"/>
  <c r="J10" i="24"/>
  <c r="F10" i="24"/>
  <c r="U10" i="24" s="1"/>
  <c r="V10" i="24" s="1"/>
  <c r="A10" i="24"/>
  <c r="W9" i="24"/>
  <c r="F9" i="24"/>
  <c r="H9" i="24" s="1"/>
  <c r="A9" i="24"/>
  <c r="W8" i="24"/>
  <c r="F8" i="24"/>
  <c r="L8" i="24" s="1"/>
  <c r="O8" i="24" s="1"/>
  <c r="A8" i="24"/>
  <c r="W7" i="24"/>
  <c r="F7" i="24"/>
  <c r="G7" i="24" s="1"/>
  <c r="S7" i="24" s="1"/>
  <c r="A7" i="24"/>
  <c r="W6" i="24"/>
  <c r="F6" i="24"/>
  <c r="H6" i="24" s="1"/>
  <c r="A6" i="24"/>
  <c r="W5" i="24"/>
  <c r="F5" i="24"/>
  <c r="L5" i="24" s="1"/>
  <c r="O5" i="24" s="1"/>
  <c r="A5" i="24"/>
  <c r="F4" i="24"/>
  <c r="U4" i="24" s="1"/>
  <c r="V4" i="24" s="1"/>
  <c r="A4" i="24"/>
  <c r="I27" i="3"/>
  <c r="I26" i="3"/>
  <c r="I25" i="3"/>
  <c r="I24" i="3"/>
  <c r="I20" i="3"/>
  <c r="H17" i="3"/>
  <c r="H16" i="3"/>
  <c r="H15" i="3"/>
  <c r="H11" i="3"/>
  <c r="H9" i="3"/>
  <c r="H8" i="3"/>
  <c r="D60" i="1"/>
  <c r="D59" i="1"/>
  <c r="D56" i="1"/>
  <c r="D55" i="1"/>
  <c r="D51" i="1"/>
  <c r="D50" i="1"/>
  <c r="D47" i="1"/>
  <c r="D46" i="1"/>
  <c r="D42" i="1"/>
  <c r="D41" i="1"/>
  <c r="D37" i="1"/>
  <c r="D36" i="1"/>
  <c r="F34" i="1"/>
  <c r="D34" i="1"/>
  <c r="F33" i="1"/>
  <c r="D33" i="1"/>
  <c r="I19" i="1"/>
  <c r="H16" i="1"/>
  <c r="H15" i="1"/>
  <c r="H14" i="1"/>
  <c r="E10" i="1"/>
  <c r="H8" i="1"/>
  <c r="H7" i="1"/>
  <c r="F37" i="1" l="1"/>
  <c r="F28" i="1" s="1"/>
  <c r="AA7" i="32"/>
  <c r="O31" i="24"/>
  <c r="J31" i="24" s="1"/>
  <c r="J88" i="24"/>
  <c r="U9" i="24"/>
  <c r="V9" i="24" s="1"/>
  <c r="H10" i="1"/>
  <c r="R52" i="24"/>
  <c r="I25" i="24"/>
  <c r="V25" i="24" s="1"/>
  <c r="K25" i="24"/>
  <c r="G18" i="24"/>
  <c r="S18" i="24" s="1"/>
  <c r="R25" i="24"/>
  <c r="U6" i="24"/>
  <c r="V6" i="24" s="1"/>
  <c r="L10" i="24"/>
  <c r="O10" i="24" s="1"/>
  <c r="K19" i="24"/>
  <c r="O27" i="24"/>
  <c r="J27" i="24" s="1"/>
  <c r="I32" i="24"/>
  <c r="R19" i="24"/>
  <c r="G10" i="24"/>
  <c r="S10" i="24" s="1"/>
  <c r="L83" i="24"/>
  <c r="L7" i="24"/>
  <c r="O7" i="24" s="1"/>
  <c r="Q7" i="24" s="1"/>
  <c r="X7" i="24" s="1"/>
  <c r="H10" i="24"/>
  <c r="R10" i="24" s="1"/>
  <c r="U15" i="24"/>
  <c r="V15" i="24" s="1"/>
  <c r="M25" i="24"/>
  <c r="P25" i="24" s="1"/>
  <c r="G25" i="24" s="1"/>
  <c r="I30" i="24"/>
  <c r="U30" i="24" s="1"/>
  <c r="H45" i="24"/>
  <c r="V45" i="24" s="1"/>
  <c r="K82" i="24"/>
  <c r="H4" i="24"/>
  <c r="G5" i="24"/>
  <c r="Q5" i="24" s="1"/>
  <c r="O19" i="24"/>
  <c r="J19" i="24" s="1"/>
  <c r="K24" i="24"/>
  <c r="R31" i="24"/>
  <c r="H34" i="24"/>
  <c r="V34" i="24" s="1"/>
  <c r="H47" i="24"/>
  <c r="V47" i="24" s="1"/>
  <c r="G48" i="24"/>
  <c r="R51" i="24"/>
  <c r="L52" i="24"/>
  <c r="R54" i="24"/>
  <c r="R24" i="24"/>
  <c r="H48" i="24"/>
  <c r="V48" i="24" s="1"/>
  <c r="J4" i="24"/>
  <c r="L4" i="24"/>
  <c r="O4" i="24" s="1"/>
  <c r="H13" i="24"/>
  <c r="H38" i="24"/>
  <c r="V38" i="24" s="1"/>
  <c r="H41" i="24"/>
  <c r="V41" i="24" s="1"/>
  <c r="M47" i="24"/>
  <c r="P47" i="24" s="1"/>
  <c r="J47" i="24"/>
  <c r="H7" i="24"/>
  <c r="G12" i="24"/>
  <c r="S12" i="24" s="1"/>
  <c r="J13" i="24"/>
  <c r="H16" i="24"/>
  <c r="H19" i="24"/>
  <c r="H27" i="24"/>
  <c r="I31" i="24"/>
  <c r="V31" i="24" s="1"/>
  <c r="J38" i="24"/>
  <c r="J41" i="24"/>
  <c r="G6" i="24"/>
  <c r="S6" i="24" s="1"/>
  <c r="J7" i="24"/>
  <c r="U12" i="24"/>
  <c r="V12" i="24" s="1"/>
  <c r="G15" i="24"/>
  <c r="S15" i="24" s="1"/>
  <c r="J16" i="24"/>
  <c r="I19" i="24"/>
  <c r="I27" i="24"/>
  <c r="U27" i="24" s="1"/>
  <c r="K31" i="24"/>
  <c r="H32" i="24"/>
  <c r="H37" i="24"/>
  <c r="V37" i="24" s="1"/>
  <c r="L38" i="24"/>
  <c r="M38" i="24" s="1"/>
  <c r="P38" i="24" s="1"/>
  <c r="H43" i="24"/>
  <c r="V43" i="24" s="1"/>
  <c r="L50" i="24"/>
  <c r="H51" i="24"/>
  <c r="V51" i="24" s="1"/>
  <c r="H54" i="24"/>
  <c r="V54" i="24" s="1"/>
  <c r="O20" i="24"/>
  <c r="J20" i="24" s="1"/>
  <c r="M20" i="24"/>
  <c r="P20" i="24" s="1"/>
  <c r="T20" i="24" s="1"/>
  <c r="M60" i="24"/>
  <c r="O60" i="24"/>
  <c r="K60" i="24" s="1"/>
  <c r="M54" i="24"/>
  <c r="O54" i="24"/>
  <c r="K54" i="24" s="1"/>
  <c r="Q54" i="24" s="1"/>
  <c r="U7" i="24"/>
  <c r="V7" i="24" s="1"/>
  <c r="G11" i="24"/>
  <c r="S11" i="24" s="1"/>
  <c r="L16" i="24"/>
  <c r="O16" i="24" s="1"/>
  <c r="Q16" i="24" s="1"/>
  <c r="X16" i="24" s="1"/>
  <c r="G17" i="24"/>
  <c r="S17" i="24" s="1"/>
  <c r="I21" i="24"/>
  <c r="U21" i="24" s="1"/>
  <c r="L41" i="24"/>
  <c r="O41" i="24" s="1"/>
  <c r="H44" i="24"/>
  <c r="V44" i="24" s="1"/>
  <c r="H57" i="24"/>
  <c r="V57" i="24" s="1"/>
  <c r="H84" i="24"/>
  <c r="H89" i="24"/>
  <c r="G4" i="24"/>
  <c r="S4" i="24" s="1"/>
  <c r="K21" i="24"/>
  <c r="I24" i="24"/>
  <c r="H25" i="24"/>
  <c r="G27" i="24"/>
  <c r="R28" i="24"/>
  <c r="H31" i="24"/>
  <c r="J35" i="24"/>
  <c r="G43" i="24"/>
  <c r="U43" i="24" s="1"/>
  <c r="J44" i="24"/>
  <c r="G45" i="24"/>
  <c r="U45" i="24" s="1"/>
  <c r="L56" i="24"/>
  <c r="O56" i="24" s="1"/>
  <c r="K56" i="24" s="1"/>
  <c r="Q56" i="24" s="1"/>
  <c r="L58" i="24"/>
  <c r="O58" i="24" s="1"/>
  <c r="K58" i="24" s="1"/>
  <c r="Q58" i="24" s="1"/>
  <c r="H60" i="24"/>
  <c r="V60" i="24" s="1"/>
  <c r="R60" i="24"/>
  <c r="I83" i="24"/>
  <c r="I84" i="24"/>
  <c r="H88" i="24"/>
  <c r="I89" i="24"/>
  <c r="U13" i="24"/>
  <c r="V13" i="24" s="1"/>
  <c r="U16" i="24"/>
  <c r="V16" i="24" s="1"/>
  <c r="L21" i="24"/>
  <c r="M21" i="24" s="1"/>
  <c r="P21" i="24" s="1"/>
  <c r="G21" i="24" s="1"/>
  <c r="L35" i="24"/>
  <c r="M35" i="24" s="1"/>
  <c r="P35" i="24" s="1"/>
  <c r="M44" i="24"/>
  <c r="P44" i="24" s="1"/>
  <c r="T44" i="24" s="1"/>
  <c r="R56" i="24"/>
  <c r="R58" i="24"/>
  <c r="J83" i="24"/>
  <c r="J84" i="24"/>
  <c r="I88" i="24"/>
  <c r="J89" i="24"/>
  <c r="G9" i="24"/>
  <c r="S9" i="24" s="1"/>
  <c r="G13" i="24"/>
  <c r="Q13" i="24" s="1"/>
  <c r="X13" i="24" s="1"/>
  <c r="R21" i="24"/>
  <c r="G37" i="24"/>
  <c r="U37" i="24" s="1"/>
  <c r="G8" i="24"/>
  <c r="Q8" i="24" s="1"/>
  <c r="H28" i="24"/>
  <c r="G40" i="24"/>
  <c r="I90" i="24"/>
  <c r="G14" i="24"/>
  <c r="Q14" i="24" s="1"/>
  <c r="X14" i="24" s="1"/>
  <c r="R27" i="24"/>
  <c r="K28" i="24"/>
  <c r="H35" i="24"/>
  <c r="V35" i="24" s="1"/>
  <c r="H40" i="24"/>
  <c r="V40" i="24" s="1"/>
  <c r="L62" i="24"/>
  <c r="L90" i="24"/>
  <c r="G31" i="24"/>
  <c r="T31" i="24"/>
  <c r="G19" i="24"/>
  <c r="T19" i="24"/>
  <c r="X5" i="24"/>
  <c r="U23" i="24"/>
  <c r="V23" i="24"/>
  <c r="O33" i="24"/>
  <c r="M33" i="24"/>
  <c r="P33" i="24" s="1"/>
  <c r="T33" i="24" s="1"/>
  <c r="I22" i="24"/>
  <c r="R22" i="24"/>
  <c r="J85" i="24"/>
  <c r="L85" i="24"/>
  <c r="I85" i="24"/>
  <c r="H85" i="24"/>
  <c r="H5" i="24"/>
  <c r="U5" i="24"/>
  <c r="V5" i="24" s="1"/>
  <c r="J6" i="24"/>
  <c r="R6" i="24" s="1"/>
  <c r="H8" i="24"/>
  <c r="U8" i="24"/>
  <c r="V8" i="24" s="1"/>
  <c r="J9" i="24"/>
  <c r="R9" i="24" s="1"/>
  <c r="H11" i="24"/>
  <c r="U11" i="24"/>
  <c r="V11" i="24" s="1"/>
  <c r="J12" i="24"/>
  <c r="R12" i="24" s="1"/>
  <c r="H14" i="24"/>
  <c r="U14" i="24"/>
  <c r="V14" i="24" s="1"/>
  <c r="J15" i="24"/>
  <c r="R15" i="24" s="1"/>
  <c r="H17" i="24"/>
  <c r="U17" i="24"/>
  <c r="V17" i="24" s="1"/>
  <c r="R20" i="24"/>
  <c r="K20" i="24"/>
  <c r="H22" i="24"/>
  <c r="H29" i="24"/>
  <c r="R29" i="24"/>
  <c r="I29" i="24"/>
  <c r="R26" i="24"/>
  <c r="K26" i="24"/>
  <c r="I26" i="24"/>
  <c r="H26" i="24"/>
  <c r="O52" i="24"/>
  <c r="K52" i="24" s="1"/>
  <c r="Q52" i="24" s="1"/>
  <c r="M52" i="24"/>
  <c r="J5" i="24"/>
  <c r="L6" i="24"/>
  <c r="O6" i="24" s="1"/>
  <c r="Q6" i="24" s="1"/>
  <c r="J8" i="24"/>
  <c r="L9" i="24"/>
  <c r="O9" i="24" s="1"/>
  <c r="J11" i="24"/>
  <c r="L12" i="24"/>
  <c r="O12" i="24" s="1"/>
  <c r="Q12" i="24" s="1"/>
  <c r="J14" i="24"/>
  <c r="L15" i="24"/>
  <c r="O15" i="24" s="1"/>
  <c r="J17" i="24"/>
  <c r="T25" i="24"/>
  <c r="L26" i="24"/>
  <c r="K29" i="24"/>
  <c r="L42" i="24"/>
  <c r="J42" i="24"/>
  <c r="H42" i="24"/>
  <c r="V42" i="24" s="1"/>
  <c r="G42" i="24"/>
  <c r="L46" i="24"/>
  <c r="J46" i="24"/>
  <c r="H46" i="24"/>
  <c r="V46" i="24" s="1"/>
  <c r="G46" i="24"/>
  <c r="O51" i="24"/>
  <c r="K51" i="24" s="1"/>
  <c r="M51" i="24"/>
  <c r="O57" i="24"/>
  <c r="K57" i="24" s="1"/>
  <c r="M57" i="24"/>
  <c r="O32" i="24"/>
  <c r="M32" i="24"/>
  <c r="P32" i="24" s="1"/>
  <c r="H20" i="24"/>
  <c r="K22" i="24"/>
  <c r="M24" i="24"/>
  <c r="P24" i="24" s="1"/>
  <c r="T24" i="24" s="1"/>
  <c r="O24" i="24"/>
  <c r="L29" i="24"/>
  <c r="L39" i="24"/>
  <c r="J39" i="24"/>
  <c r="H39" i="24"/>
  <c r="V39" i="24" s="1"/>
  <c r="G39" i="24"/>
  <c r="M41" i="24"/>
  <c r="P41" i="24" s="1"/>
  <c r="O43" i="24"/>
  <c r="M43" i="24"/>
  <c r="P43" i="24" s="1"/>
  <c r="Q11" i="24"/>
  <c r="X11" i="24" s="1"/>
  <c r="I20" i="24"/>
  <c r="L22" i="24"/>
  <c r="V24" i="24"/>
  <c r="U24" i="24"/>
  <c r="J25" i="24"/>
  <c r="L30" i="24"/>
  <c r="K30" i="24"/>
  <c r="R30" i="24"/>
  <c r="V30" i="24"/>
  <c r="V32" i="24"/>
  <c r="U32" i="24"/>
  <c r="L34" i="24"/>
  <c r="J34" i="24"/>
  <c r="R34" i="24" s="1"/>
  <c r="L36" i="24"/>
  <c r="J36" i="24"/>
  <c r="H36" i="24"/>
  <c r="V36" i="24" s="1"/>
  <c r="G36" i="24"/>
  <c r="O38" i="24"/>
  <c r="O40" i="24"/>
  <c r="M40" i="24"/>
  <c r="P40" i="24" s="1"/>
  <c r="S16" i="24"/>
  <c r="K33" i="24"/>
  <c r="R33" i="24"/>
  <c r="I33" i="24"/>
  <c r="H33" i="24"/>
  <c r="H18" i="24"/>
  <c r="R18" i="24" s="1"/>
  <c r="L18" i="24"/>
  <c r="O18" i="24" s="1"/>
  <c r="U18" i="24"/>
  <c r="V18" i="24" s="1"/>
  <c r="H23" i="24"/>
  <c r="L23" i="24"/>
  <c r="K23" i="24"/>
  <c r="R23" i="24"/>
  <c r="U34" i="24"/>
  <c r="O37" i="24"/>
  <c r="M37" i="24"/>
  <c r="P37" i="24" s="1"/>
  <c r="I47" i="24"/>
  <c r="T47" i="24"/>
  <c r="R49" i="24"/>
  <c r="L49" i="24"/>
  <c r="H49" i="24"/>
  <c r="K27" i="24"/>
  <c r="L28" i="24"/>
  <c r="R32" i="24"/>
  <c r="K32" i="24"/>
  <c r="J37" i="24"/>
  <c r="J40" i="24"/>
  <c r="J43" i="24"/>
  <c r="J45" i="24"/>
  <c r="J48" i="24"/>
  <c r="R48" i="24" s="1"/>
  <c r="V53" i="24"/>
  <c r="R55" i="24"/>
  <c r="L55" i="24"/>
  <c r="R57" i="24"/>
  <c r="R61" i="24"/>
  <c r="L61" i="24"/>
  <c r="V62" i="24"/>
  <c r="R62" i="24"/>
  <c r="R63" i="24"/>
  <c r="L63" i="24"/>
  <c r="H63" i="24"/>
  <c r="U28" i="24"/>
  <c r="M45" i="24"/>
  <c r="P45" i="24" s="1"/>
  <c r="M48" i="24"/>
  <c r="P48" i="24" s="1"/>
  <c r="V59" i="24"/>
  <c r="J86" i="24"/>
  <c r="I86" i="24"/>
  <c r="L86" i="24"/>
  <c r="H24" i="24"/>
  <c r="G44" i="24"/>
  <c r="G47" i="24"/>
  <c r="R50" i="24"/>
  <c r="R53" i="24"/>
  <c r="L53" i="24"/>
  <c r="V61" i="24"/>
  <c r="H86" i="24"/>
  <c r="R59" i="24"/>
  <c r="L59" i="24"/>
  <c r="I87" i="24"/>
  <c r="H87" i="24"/>
  <c r="L87" i="24"/>
  <c r="H90" i="24"/>
  <c r="K90" i="24" s="1"/>
  <c r="F50" i="1"/>
  <c r="H12" i="3"/>
  <c r="H11" i="1"/>
  <c r="H12" i="1"/>
  <c r="U48" i="24" l="1"/>
  <c r="H14" i="3"/>
  <c r="R45" i="24"/>
  <c r="S5" i="24"/>
  <c r="I44" i="24"/>
  <c r="U38" i="24"/>
  <c r="V27" i="24"/>
  <c r="M56" i="24"/>
  <c r="S8" i="24"/>
  <c r="Q51" i="24"/>
  <c r="U25" i="24"/>
  <c r="K88" i="24"/>
  <c r="R37" i="24"/>
  <c r="O35" i="24"/>
  <c r="V21" i="24"/>
  <c r="Q57" i="24"/>
  <c r="M58" i="24"/>
  <c r="N58" i="24" s="1"/>
  <c r="Q10" i="24"/>
  <c r="X10" i="24" s="1"/>
  <c r="U41" i="24"/>
  <c r="Q60" i="24"/>
  <c r="S25" i="24"/>
  <c r="U40" i="24"/>
  <c r="S27" i="24"/>
  <c r="R41" i="24"/>
  <c r="R40" i="24"/>
  <c r="U31" i="24"/>
  <c r="Q9" i="24"/>
  <c r="X9" i="24" s="1"/>
  <c r="Q4" i="24"/>
  <c r="O21" i="24"/>
  <c r="J21" i="24" s="1"/>
  <c r="Q21" i="24" s="1"/>
  <c r="X21" i="24" s="1"/>
  <c r="S14" i="24"/>
  <c r="T21" i="24"/>
  <c r="K83" i="24"/>
  <c r="K89" i="24"/>
  <c r="O50" i="24"/>
  <c r="K50" i="24" s="1"/>
  <c r="Q50" i="24" s="1"/>
  <c r="M50" i="24"/>
  <c r="R13" i="24"/>
  <c r="R4" i="24"/>
  <c r="K84" i="24"/>
  <c r="U19" i="24"/>
  <c r="V19" i="24"/>
  <c r="R7" i="24"/>
  <c r="R17" i="24"/>
  <c r="K86" i="24"/>
  <c r="K85" i="24"/>
  <c r="R16" i="24"/>
  <c r="Q17" i="24"/>
  <c r="X17" i="24" s="1"/>
  <c r="S13" i="24"/>
  <c r="U35" i="24"/>
  <c r="G20" i="24"/>
  <c r="Q20" i="24" s="1"/>
  <c r="X20" i="24" s="1"/>
  <c r="R14" i="24"/>
  <c r="R8" i="24"/>
  <c r="K87" i="24"/>
  <c r="R35" i="24"/>
  <c r="N60" i="24"/>
  <c r="P60" i="24"/>
  <c r="S47" i="24"/>
  <c r="X8" i="24"/>
  <c r="O62" i="24"/>
  <c r="K62" i="24" s="1"/>
  <c r="Q62" i="24" s="1"/>
  <c r="M62" i="24"/>
  <c r="R43" i="24"/>
  <c r="Q27" i="24"/>
  <c r="X27" i="24" s="1"/>
  <c r="Q25" i="24"/>
  <c r="X25" i="24" s="1"/>
  <c r="R5" i="24"/>
  <c r="N54" i="24"/>
  <c r="P54" i="24"/>
  <c r="I28" i="1"/>
  <c r="E13" i="1"/>
  <c r="H13" i="1" s="1"/>
  <c r="M36" i="24"/>
  <c r="P36" i="24" s="1"/>
  <c r="O36" i="24"/>
  <c r="P56" i="24"/>
  <c r="N56" i="24"/>
  <c r="O42" i="24"/>
  <c r="M42" i="24"/>
  <c r="P42" i="24" s="1"/>
  <c r="I38" i="24"/>
  <c r="T38" i="24"/>
  <c r="U46" i="24"/>
  <c r="R46" i="24"/>
  <c r="R11" i="24"/>
  <c r="S31" i="24"/>
  <c r="Q31" i="24"/>
  <c r="X31" i="24" s="1"/>
  <c r="O59" i="24"/>
  <c r="K59" i="24" s="1"/>
  <c r="Q59" i="24" s="1"/>
  <c r="M59" i="24"/>
  <c r="Q47" i="24"/>
  <c r="X47" i="24" s="1"/>
  <c r="R47" i="24"/>
  <c r="U47" i="24"/>
  <c r="I48" i="24"/>
  <c r="T48" i="24"/>
  <c r="O49" i="24"/>
  <c r="K49" i="24" s="1"/>
  <c r="Q49" i="24" s="1"/>
  <c r="M49" i="24"/>
  <c r="M34" i="24"/>
  <c r="P34" i="24" s="1"/>
  <c r="O34" i="24"/>
  <c r="O39" i="24"/>
  <c r="M39" i="24"/>
  <c r="P39" i="24" s="1"/>
  <c r="G32" i="24"/>
  <c r="T32" i="24"/>
  <c r="P57" i="24"/>
  <c r="N57" i="24"/>
  <c r="S44" i="24"/>
  <c r="S20" i="24"/>
  <c r="J33" i="24"/>
  <c r="P52" i="24"/>
  <c r="N52" i="24"/>
  <c r="O55" i="24"/>
  <c r="K55" i="24" s="1"/>
  <c r="Q55" i="24" s="1"/>
  <c r="M55" i="24"/>
  <c r="V49" i="24"/>
  <c r="I35" i="24"/>
  <c r="T35" i="24"/>
  <c r="I43" i="24"/>
  <c r="T43" i="24"/>
  <c r="Q44" i="24"/>
  <c r="X44" i="24" s="1"/>
  <c r="R44" i="24"/>
  <c r="U44" i="24"/>
  <c r="I45" i="24"/>
  <c r="T45" i="24"/>
  <c r="V63" i="24"/>
  <c r="M61" i="24"/>
  <c r="O61" i="24"/>
  <c r="K61" i="24" s="1"/>
  <c r="Q61" i="24" s="1"/>
  <c r="O23" i="24"/>
  <c r="M23" i="24"/>
  <c r="P23" i="24" s="1"/>
  <c r="R36" i="24"/>
  <c r="U36" i="24"/>
  <c r="O22" i="24"/>
  <c r="M22" i="24"/>
  <c r="P22" i="24" s="1"/>
  <c r="I41" i="24"/>
  <c r="T41" i="24"/>
  <c r="J32" i="24"/>
  <c r="R42" i="24"/>
  <c r="U42" i="24"/>
  <c r="U26" i="24"/>
  <c r="V26" i="24"/>
  <c r="G33" i="24"/>
  <c r="S19" i="24"/>
  <c r="Q19" i="24"/>
  <c r="X19" i="24" s="1"/>
  <c r="O63" i="24"/>
  <c r="K63" i="24" s="1"/>
  <c r="Q63" i="24" s="1"/>
  <c r="M63" i="24"/>
  <c r="V33" i="24"/>
  <c r="U33" i="24"/>
  <c r="M30" i="24"/>
  <c r="P30" i="24" s="1"/>
  <c r="O30" i="24"/>
  <c r="U20" i="24"/>
  <c r="V20" i="24"/>
  <c r="O29" i="24"/>
  <c r="M29" i="24"/>
  <c r="P29" i="24" s="1"/>
  <c r="Q18" i="24"/>
  <c r="X18" i="24" s="1"/>
  <c r="P51" i="24"/>
  <c r="N51" i="24"/>
  <c r="M46" i="24"/>
  <c r="P46" i="24" s="1"/>
  <c r="O46" i="24"/>
  <c r="X6" i="24"/>
  <c r="V22" i="24"/>
  <c r="U22" i="24"/>
  <c r="X12" i="24"/>
  <c r="O53" i="24"/>
  <c r="K53" i="24" s="1"/>
  <c r="Q53" i="24" s="1"/>
  <c r="M53" i="24"/>
  <c r="G24" i="24"/>
  <c r="O28" i="24"/>
  <c r="M28" i="24"/>
  <c r="P28" i="24" s="1"/>
  <c r="I37" i="24"/>
  <c r="T37" i="24"/>
  <c r="I40" i="24"/>
  <c r="T40" i="24"/>
  <c r="Q15" i="24"/>
  <c r="X15" i="24" s="1"/>
  <c r="R39" i="24"/>
  <c r="U39" i="24"/>
  <c r="J24" i="24"/>
  <c r="O26" i="24"/>
  <c r="M26" i="24"/>
  <c r="P26" i="24" s="1"/>
  <c r="U29" i="24"/>
  <c r="V29" i="24"/>
  <c r="S21" i="24"/>
  <c r="P58" i="24" l="1"/>
  <c r="T58" i="24" s="1"/>
  <c r="P50" i="24"/>
  <c r="N50" i="24"/>
  <c r="P62" i="24"/>
  <c r="N62" i="24"/>
  <c r="T54" i="24"/>
  <c r="G54" i="24"/>
  <c r="T60" i="24"/>
  <c r="G60" i="24"/>
  <c r="S37" i="24"/>
  <c r="Q37" i="24"/>
  <c r="X37" i="24" s="1"/>
  <c r="J30" i="24"/>
  <c r="J26" i="24"/>
  <c r="T29" i="24"/>
  <c r="G29" i="24"/>
  <c r="I39" i="24"/>
  <c r="T39" i="24"/>
  <c r="N53" i="24"/>
  <c r="P53" i="24"/>
  <c r="Q33" i="24"/>
  <c r="X33" i="24" s="1"/>
  <c r="S33" i="24"/>
  <c r="S40" i="24"/>
  <c r="Q40" i="24"/>
  <c r="X40" i="24" s="1"/>
  <c r="J28" i="24"/>
  <c r="P63" i="24"/>
  <c r="N63" i="24"/>
  <c r="S43" i="24"/>
  <c r="Q43" i="24"/>
  <c r="X43" i="24" s="1"/>
  <c r="P55" i="24"/>
  <c r="N55" i="24"/>
  <c r="S38" i="24"/>
  <c r="Q38" i="24"/>
  <c r="X38" i="24" s="1"/>
  <c r="J23" i="24"/>
  <c r="T52" i="24"/>
  <c r="G52" i="24"/>
  <c r="G28" i="24"/>
  <c r="T28" i="24"/>
  <c r="I46" i="24"/>
  <c r="T46" i="24"/>
  <c r="P61" i="24"/>
  <c r="N61" i="24"/>
  <c r="T57" i="24"/>
  <c r="G57" i="24"/>
  <c r="P49" i="24"/>
  <c r="N49" i="24"/>
  <c r="S24" i="24"/>
  <c r="Q24" i="24"/>
  <c r="X24" i="24" s="1"/>
  <c r="T51" i="24"/>
  <c r="G51" i="24"/>
  <c r="S32" i="24"/>
  <c r="Q32" i="24"/>
  <c r="X32" i="24" s="1"/>
  <c r="N59" i="24"/>
  <c r="P59" i="24"/>
  <c r="G56" i="24"/>
  <c r="T56" i="24"/>
  <c r="S41" i="24"/>
  <c r="Q41" i="24"/>
  <c r="X41" i="24" s="1"/>
  <c r="T23" i="24"/>
  <c r="G23" i="24"/>
  <c r="I34" i="24"/>
  <c r="T34" i="24"/>
  <c r="S48" i="24"/>
  <c r="Q48" i="24"/>
  <c r="X48" i="24" s="1"/>
  <c r="I42" i="24"/>
  <c r="T42" i="24"/>
  <c r="T26" i="24"/>
  <c r="G26" i="24"/>
  <c r="T22" i="24"/>
  <c r="G22" i="24"/>
  <c r="S45" i="24"/>
  <c r="Q45" i="24"/>
  <c r="X45" i="24" s="1"/>
  <c r="S35" i="24"/>
  <c r="Q35" i="24"/>
  <c r="X35" i="24" s="1"/>
  <c r="I36" i="24"/>
  <c r="T36" i="24"/>
  <c r="T30" i="24"/>
  <c r="G30" i="24"/>
  <c r="G58" i="24"/>
  <c r="J29" i="24"/>
  <c r="J22" i="24"/>
  <c r="G50" i="24" l="1"/>
  <c r="T50" i="24"/>
  <c r="S54" i="24"/>
  <c r="U54" i="24"/>
  <c r="X54" i="24"/>
  <c r="T62" i="24"/>
  <c r="G62" i="24"/>
  <c r="S60" i="24"/>
  <c r="X60" i="24"/>
  <c r="U60" i="24"/>
  <c r="S30" i="24"/>
  <c r="Q30" i="24"/>
  <c r="X30" i="24" s="1"/>
  <c r="Q22" i="24"/>
  <c r="X22" i="24" s="1"/>
  <c r="S22" i="24"/>
  <c r="X51" i="24"/>
  <c r="U51" i="24"/>
  <c r="S51" i="24"/>
  <c r="S26" i="24"/>
  <c r="Q26" i="24"/>
  <c r="X26" i="24" s="1"/>
  <c r="S23" i="24"/>
  <c r="Q23" i="24"/>
  <c r="S36" i="24"/>
  <c r="Q36" i="24"/>
  <c r="X36" i="24" s="1"/>
  <c r="T61" i="24"/>
  <c r="G61" i="24"/>
  <c r="S28" i="24"/>
  <c r="Q28" i="24"/>
  <c r="X28" i="24" s="1"/>
  <c r="Q29" i="24"/>
  <c r="X29" i="24" s="1"/>
  <c r="S29" i="24"/>
  <c r="T59" i="24"/>
  <c r="G59" i="24"/>
  <c r="T49" i="24"/>
  <c r="G49" i="24"/>
  <c r="U52" i="24"/>
  <c r="S52" i="24"/>
  <c r="X52" i="24"/>
  <c r="S39" i="24"/>
  <c r="Q39" i="24"/>
  <c r="X39" i="24" s="1"/>
  <c r="S34" i="24"/>
  <c r="Q34" i="24"/>
  <c r="X34" i="24" s="1"/>
  <c r="S46" i="24"/>
  <c r="Q46" i="24"/>
  <c r="X46" i="24" s="1"/>
  <c r="T63" i="24"/>
  <c r="G63" i="24"/>
  <c r="S42" i="24"/>
  <c r="Q42" i="24"/>
  <c r="X42" i="24" s="1"/>
  <c r="X57" i="24"/>
  <c r="U57" i="24"/>
  <c r="S57" i="24"/>
  <c r="U58" i="24"/>
  <c r="S58" i="24"/>
  <c r="X58" i="24"/>
  <c r="U56" i="24"/>
  <c r="S56" i="24"/>
  <c r="X56" i="24"/>
  <c r="T53" i="24"/>
  <c r="G53" i="24"/>
  <c r="T55" i="24"/>
  <c r="G55" i="24"/>
  <c r="S50" i="24" l="1"/>
  <c r="X50" i="24"/>
  <c r="U50" i="24"/>
  <c r="U62" i="24"/>
  <c r="S62" i="24"/>
  <c r="X62" i="24"/>
  <c r="X59" i="24"/>
  <c r="U59" i="24"/>
  <c r="S59" i="24"/>
  <c r="X53" i="24"/>
  <c r="U53" i="24"/>
  <c r="S53" i="24"/>
  <c r="X61" i="24"/>
  <c r="U61" i="24"/>
  <c r="S61" i="24"/>
  <c r="X23" i="24"/>
  <c r="X55" i="24"/>
  <c r="S55" i="24"/>
  <c r="U55" i="24"/>
  <c r="X49" i="24"/>
  <c r="S49" i="24"/>
  <c r="U49" i="24"/>
  <c r="X63" i="24"/>
  <c r="S63" i="24"/>
  <c r="U63" i="24"/>
  <c r="D10" i="23" l="1"/>
  <c r="E10" i="3"/>
  <c r="H10" i="3" s="1"/>
  <c r="DS7" i="32" l="1"/>
  <c r="DR7" i="32"/>
  <c r="DU7" i="32"/>
  <c r="DT7" i="32"/>
  <c r="BC7" i="32" l="1"/>
  <c r="BB7" i="32"/>
  <c r="BB12" i="32" l="1"/>
  <c r="F24" i="1"/>
  <c r="I24" i="1" s="1"/>
  <c r="F26" i="1"/>
  <c r="I26" i="1" s="1"/>
  <c r="BC12" i="32"/>
  <c r="F25" i="1"/>
  <c r="I25" i="1" s="1"/>
  <c r="B7" i="23" l="1"/>
  <c r="E9" i="1"/>
  <c r="H9" i="1" s="1"/>
  <c r="A8" i="23" l="1"/>
  <c r="A9" i="23"/>
  <c r="FL2" i="32" l="1"/>
  <c r="A10" i="23"/>
  <c r="GW2" i="32"/>
  <c r="C37" i="3"/>
  <c r="FI2" i="32" l="1"/>
  <c r="GT2" i="32"/>
  <c r="GM7" i="32" l="1"/>
  <c r="GJ7" i="32"/>
  <c r="GL7" i="32"/>
  <c r="GK7" i="32"/>
  <c r="GH7" i="32"/>
  <c r="GI7" i="32"/>
  <c r="EZ7" i="32"/>
  <c r="EY7" i="32"/>
  <c r="FB7" i="32"/>
  <c r="EW7" i="32"/>
  <c r="FA7" i="32"/>
  <c r="EX7" i="32"/>
  <c r="AG7" i="32" l="1"/>
  <c r="F23" i="3" s="1"/>
  <c r="I23" i="3" s="1"/>
  <c r="AG12" i="32" l="1"/>
  <c r="F22" i="1"/>
  <c r="I22" i="1" s="1"/>
  <c r="FG2" i="32" l="1"/>
  <c r="FK6" i="32" s="1"/>
  <c r="FK7" i="32" s="1"/>
  <c r="GR2" i="32"/>
  <c r="GV6" i="32" s="1"/>
  <c r="GV7" i="32" s="1"/>
  <c r="FF2" i="32" l="1"/>
  <c r="GQ2" i="32"/>
  <c r="GP6" i="32" l="1"/>
  <c r="GP7" i="32" s="1"/>
  <c r="GU6" i="32"/>
  <c r="GO6" i="32"/>
  <c r="GO7" i="32" s="1"/>
  <c r="GN6" i="32"/>
  <c r="FJ6" i="32"/>
  <c r="FE6" i="32"/>
  <c r="FE7" i="32" s="1"/>
  <c r="FD6" i="32"/>
  <c r="FD7" i="32" s="1"/>
  <c r="EV7" i="32"/>
  <c r="FC6" i="32"/>
  <c r="GN7" i="32" l="1"/>
  <c r="GR6" i="32"/>
  <c r="GR7" i="32" s="1"/>
  <c r="GW6" i="32"/>
  <c r="GU7" i="32"/>
  <c r="FL6" i="32"/>
  <c r="FJ7" i="32"/>
  <c r="FC7" i="32"/>
  <c r="FG6" i="32"/>
  <c r="FG7" i="32" s="1"/>
  <c r="AF7" i="32"/>
  <c r="AF12" i="32" s="1"/>
  <c r="AE7" i="32"/>
  <c r="FL7" i="32" l="1"/>
  <c r="FM6" i="32"/>
  <c r="FM7" i="32" s="1"/>
  <c r="AI7" i="32" s="1"/>
  <c r="F21" i="1"/>
  <c r="I21" i="1" s="1"/>
  <c r="AE12" i="32"/>
  <c r="F22" i="3"/>
  <c r="I22" i="3" s="1"/>
  <c r="GX6" i="32"/>
  <c r="GX7" i="32" s="1"/>
  <c r="GW7" i="32"/>
  <c r="F23" i="1" l="1"/>
  <c r="I23" i="1" s="1"/>
  <c r="AI12" i="32"/>
  <c r="AD7" i="32" l="1"/>
</calcChain>
</file>

<file path=xl/comments1.xml><?xml version="1.0" encoding="utf-8"?>
<comments xmlns="http://schemas.openxmlformats.org/spreadsheetml/2006/main">
  <authors>
    <author>User</author>
    <author>user</author>
  </authors>
  <commentList>
    <comment ref="F5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&gt;&gt;Crete__html&gt;&gt;
for excav…such in a way
for backfill…such in a way
by adopting from Linus.. Or..any</t>
        </r>
      </text>
    </comment>
    <comment ref="E1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How to measure this angle????
&gt;&gt;Using plan dwg…</t>
        </r>
      </text>
    </comment>
    <comment ref="F2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with issue need to be
checked….</t>
        </r>
      </text>
    </comment>
  </commentList>
</comments>
</file>

<file path=xl/comments2.xml><?xml version="1.0" encoding="utf-8"?>
<comments xmlns="http://schemas.openxmlformats.org/spreadsheetml/2006/main">
  <authors>
    <author>User</author>
    <author>user</author>
    <author>Windows User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&gt;&gt;Crete__html&gt;&gt;
for excav…such in a way
for backfill…such in a way
by adopting from Linus.. Or..any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Notice</t>
        </r>
        <r>
          <rPr>
            <sz val="9"/>
            <color indexed="81"/>
            <rFont val="Tahoma"/>
            <family val="2"/>
          </rPr>
          <t xml:space="preserve">..
     &gt;&gt;while adjusting </t>
        </r>
        <r>
          <rPr>
            <b/>
            <sz val="9"/>
            <color indexed="81"/>
            <rFont val="Tahoma"/>
            <family val="2"/>
          </rPr>
          <t>move up and down</t>
        </r>
        <r>
          <rPr>
            <sz val="9"/>
            <color indexed="81"/>
            <rFont val="Tahoma"/>
            <family val="2"/>
          </rPr>
          <t xml:space="preserve">…
            won't adjust the slope…rather … for </t>
        </r>
        <r>
          <rPr>
            <b/>
            <sz val="9"/>
            <color indexed="81"/>
            <rFont val="Tahoma"/>
            <family val="2"/>
          </rPr>
          <t>fill Height</t>
        </r>
        <r>
          <rPr>
            <sz val="9"/>
            <color indexed="81"/>
            <rFont val="Tahoma"/>
            <family val="2"/>
          </rPr>
          <t xml:space="preserve"> only..
     &gt;&gt;get the point of interest and do it again by </t>
        </r>
        <r>
          <rPr>
            <b/>
            <sz val="9"/>
            <color indexed="81"/>
            <rFont val="Tahoma"/>
            <family val="2"/>
          </rPr>
          <t>incr/dec</t>
        </r>
        <r>
          <rPr>
            <sz val="9"/>
            <color indexed="81"/>
            <rFont val="Tahoma"/>
            <family val="2"/>
          </rPr>
          <t xml:space="preserve"> slope… 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set Adjust layer off after adjust…….or aafter..
Excav… if possible</t>
        </r>
      </text>
    </comment>
    <comment ref="E13" authorId="0">
      <text>
        <r>
          <rPr>
            <b/>
            <sz val="9"/>
            <color indexed="81"/>
            <rFont val="Tahoma"/>
            <family val="2"/>
          </rPr>
          <t>User:
From ERA__Standard</t>
        </r>
        <r>
          <rPr>
            <sz val="9"/>
            <color indexed="81"/>
            <rFont val="Tahoma"/>
            <family val="2"/>
          </rPr>
          <t xml:space="preserve">
**** minimum slope is 0.5%</t>
        </r>
      </text>
    </comment>
    <comment ref="E17" authorId="1">
      <text>
        <r>
          <rPr>
            <sz val="8"/>
            <color indexed="81"/>
            <rFont val="Tahoma"/>
            <family val="2"/>
          </rPr>
          <t>How to measure this angle????
&gt;&gt;Using plan dwg…</t>
        </r>
      </text>
    </comment>
    <comment ref="C37" authorId="2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&gt;deterimed from fill height
&gt;from table standard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&gt;&gt;Crete__html&gt;&gt;
for excav…such in a way
for backfill…such in a way
by adopting from Linus.. Or..any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Notice</t>
        </r>
        <r>
          <rPr>
            <sz val="9"/>
            <color indexed="81"/>
            <rFont val="Tahoma"/>
            <family val="2"/>
          </rPr>
          <t xml:space="preserve">..
     &gt;&gt;while adjusting </t>
        </r>
        <r>
          <rPr>
            <b/>
            <sz val="9"/>
            <color indexed="81"/>
            <rFont val="Tahoma"/>
            <family val="2"/>
          </rPr>
          <t>move up and down</t>
        </r>
        <r>
          <rPr>
            <sz val="9"/>
            <color indexed="81"/>
            <rFont val="Tahoma"/>
            <family val="2"/>
          </rPr>
          <t xml:space="preserve">…
            won't adjust the slope…rather … for </t>
        </r>
        <r>
          <rPr>
            <b/>
            <sz val="9"/>
            <color indexed="81"/>
            <rFont val="Tahoma"/>
            <family val="2"/>
          </rPr>
          <t>fill Height</t>
        </r>
        <r>
          <rPr>
            <sz val="9"/>
            <color indexed="81"/>
            <rFont val="Tahoma"/>
            <family val="2"/>
          </rPr>
          <t xml:space="preserve"> only..
     &gt;&gt;get the point of interest and do it again by </t>
        </r>
        <r>
          <rPr>
            <b/>
            <sz val="9"/>
            <color indexed="81"/>
            <rFont val="Tahoma"/>
            <family val="2"/>
          </rPr>
          <t>incr/dec</t>
        </r>
        <r>
          <rPr>
            <sz val="9"/>
            <color indexed="81"/>
            <rFont val="Tahoma"/>
            <family val="2"/>
          </rPr>
          <t xml:space="preserve"> slope… 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User:
did n't work when the Flow is Right…..
     PWW 
     Bottom __SLAB</t>
        </r>
        <r>
          <rPr>
            <sz val="9"/>
            <color indexed="81"/>
            <rFont val="Tahoma"/>
            <family val="2"/>
          </rPr>
          <t xml:space="preserve">
Hatches… ….
</t>
        </r>
      </text>
    </comment>
  </commentList>
</comments>
</file>

<file path=xl/comments4.xml><?xml version="1.0" encoding="utf-8"?>
<comments xmlns="http://schemas.openxmlformats.org/spreadsheetml/2006/main">
  <authors>
    <author>User</author>
    <author>user</author>
  </authors>
  <commentList>
    <comment ref="S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none</t>
        </r>
      </text>
    </comment>
    <comment ref="W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0.3 to 0.15
b/c the bedding is assumed 0.15…
….. If not leave it as it is..</t>
        </r>
      </text>
    </comment>
    <comment ref="S19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&gt;&gt;why need to take average</t>
        </r>
      </text>
    </comment>
    <comment ref="S3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none</t>
        </r>
      </text>
    </comment>
    <comment ref="X34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why… 
H2+0.8
M34+0.8 …???
It should be only H2</t>
        </r>
      </text>
    </comment>
    <comment ref="S49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why need to do this formula…
 ____ (L1+L2)/2*2
_____working area is missed …. 0.9
It should be
_____ L1+0.9</t>
        </r>
      </text>
    </comment>
  </commentList>
</comments>
</file>

<file path=xl/comments5.xml><?xml version="1.0" encoding="utf-8"?>
<comments xmlns="http://schemas.openxmlformats.org/spreadsheetml/2006/main">
  <authors>
    <author>User</author>
    <author>user</author>
  </authors>
  <commentList>
    <comment ref="M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 Not Necessary to show
       These…
&gt;&gt;But sometimes may be Mandatory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smh when I hit …. 
CTR + Shift + A     _____will do:-
     &gt;&gt; add new Row
     &gt;&gt;copy the above formulas to each cell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&gt;&gt;pick fm plan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 pick fm plan</t>
        </r>
      </text>
    </comment>
    <comment ref="AI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__4_the following Case REV is needed
       if channel outlet is neded
       if End SS is different from Type_C</t>
        </r>
      </text>
    </comment>
    <comment ref="AO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check out the STD
ERA…??
</t>
        </r>
      </text>
    </comment>
    <comment ref="AV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concrete for pad</t>
        </r>
      </text>
    </comment>
    <comment ref="AW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Super-Structure- concrete</t>
        </r>
      </text>
    </comment>
    <comment ref="CW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This concrete must account …..
the edge beam concrete</t>
        </r>
      </text>
    </comment>
    <comment ref="CY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This Rebar must account …..
the edge beam Rebar</t>
        </r>
      </text>
    </comment>
    <comment ref="DW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for B1
to look for </t>
        </r>
      </text>
    </comment>
    <comment ref="DX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for B1
to look for </t>
        </r>
      </text>
    </comment>
    <comment ref="EG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need to be multiplied by 2
since it only shows one side of wingwall
if endSS == C then multiply by 2 
else
keep </t>
        </r>
      </text>
    </comment>
    <comment ref="EH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user:
need to be multiplied by 2
since it only shows one side of wingwall
if endSS == C then multiply by 2 
else
keep </t>
        </r>
      </text>
    </comment>
    <comment ref="EW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assuming end SS Are
Type-C</t>
        </r>
      </text>
    </comment>
    <comment ref="EX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assuming end SS Are
Type-C</t>
        </r>
      </text>
    </comment>
    <comment ref="GH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assuming end SS Are
Type-C</t>
        </r>
      </text>
    </comment>
    <comment ref="GI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assuming end SS Are
Type-C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 extend the pipe way out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CL for Slab cuvlert and 
Box Culvert...</t>
        </r>
      </text>
    </comment>
  </commentList>
</comments>
</file>

<file path=xl/sharedStrings.xml><?xml version="1.0" encoding="utf-8"?>
<sst xmlns="http://schemas.openxmlformats.org/spreadsheetml/2006/main" count="963" uniqueCount="426">
  <si>
    <t xml:space="preserve">      Item </t>
  </si>
  <si>
    <t xml:space="preserve">     Quantity </t>
  </si>
  <si>
    <t xml:space="preserve"> ----------</t>
  </si>
  <si>
    <t xml:space="preserve"> </t>
  </si>
  <si>
    <t xml:space="preserve">Backfill: </t>
  </si>
  <si>
    <t xml:space="preserve">Cement Mortared Stone Masonry: </t>
  </si>
  <si>
    <t xml:space="preserve">Grouted Stone Pitch: </t>
  </si>
  <si>
    <t>RCP</t>
  </si>
  <si>
    <t>culvert_length</t>
  </si>
  <si>
    <t>xo=</t>
  </si>
  <si>
    <t>yo=</t>
  </si>
  <si>
    <t>x=</t>
  </si>
  <si>
    <t>y=</t>
  </si>
  <si>
    <t>invert elevaiton</t>
  </si>
  <si>
    <t>Inlet elevation</t>
  </si>
  <si>
    <t>outlet elevation</t>
  </si>
  <si>
    <t>culvert_CL_length</t>
  </si>
  <si>
    <t>xcl</t>
  </si>
  <si>
    <t>ycl</t>
  </si>
  <si>
    <t>Culvert_Len</t>
  </si>
  <si>
    <t xml:space="preserve">    Item                           Quantity</t>
  </si>
  <si>
    <t>Structural Excavation</t>
  </si>
  <si>
    <t>Channel Excavation</t>
  </si>
  <si>
    <t>Backfill</t>
  </si>
  <si>
    <t>Cement Mortared Stone Masonry</t>
  </si>
  <si>
    <t>Grouted Stone Pitch</t>
  </si>
  <si>
    <t>Class 'B' Bedding</t>
  </si>
  <si>
    <t>Chainage</t>
  </si>
  <si>
    <t>Structure Type</t>
  </si>
  <si>
    <t>Pipe Size</t>
  </si>
  <si>
    <t>Invert Level</t>
  </si>
  <si>
    <t>Flow Direction</t>
  </si>
  <si>
    <t>Invert Slope</t>
  </si>
  <si>
    <t>Pipe Length</t>
  </si>
  <si>
    <t>LHS End Structure</t>
  </si>
  <si>
    <t>RHS End Structure</t>
  </si>
  <si>
    <t>Skew Ang</t>
  </si>
  <si>
    <t>from CL</t>
  </si>
  <si>
    <t>x</t>
  </si>
  <si>
    <t>y</t>
  </si>
  <si>
    <t>Culvert Size</t>
  </si>
  <si>
    <t>Flow direction</t>
  </si>
  <si>
    <t>Barrel Length</t>
  </si>
  <si>
    <t>LHS End Strucutre</t>
  </si>
  <si>
    <t>Slab Culvert</t>
  </si>
  <si>
    <t>M_WW</t>
  </si>
  <si>
    <t>Box Culvert</t>
  </si>
  <si>
    <t>Class A Concrete</t>
  </si>
  <si>
    <t>Class C Concrete</t>
  </si>
  <si>
    <t>Reinforcing Steel</t>
  </si>
  <si>
    <t>B</t>
  </si>
  <si>
    <t>SINGLE PIPE</t>
  </si>
  <si>
    <t>DOUBLE PIPE</t>
  </si>
  <si>
    <t>TRIPLE PIPE</t>
  </si>
  <si>
    <t>C</t>
  </si>
  <si>
    <t>A</t>
  </si>
  <si>
    <t>VOLUME BACKFILL
(m3)</t>
  </si>
  <si>
    <t>PIPE  BARREL DATA</t>
  </si>
  <si>
    <t>No of
Cell</t>
  </si>
  <si>
    <t>Di
(m)</t>
  </si>
  <si>
    <t>t
(m)</t>
  </si>
  <si>
    <t>Do
(m)</t>
  </si>
  <si>
    <t>Width of 
backfilling
(m)</t>
  </si>
  <si>
    <t>Height of
Backfilling
(m)</t>
  </si>
  <si>
    <t>Deducted area pipe opening
(m2)</t>
  </si>
  <si>
    <t>excavation
 Width</t>
  </si>
  <si>
    <t>SC</t>
  </si>
  <si>
    <t>BC</t>
  </si>
  <si>
    <t>Back Fill Using imported selected materials</t>
  </si>
  <si>
    <t>Left</t>
  </si>
  <si>
    <t>Wing Wall</t>
  </si>
  <si>
    <t>L</t>
  </si>
  <si>
    <t>Back Fill Using excavated materials from the site ( Percenetage)</t>
  </si>
  <si>
    <t>Excavation in soft material Irrespective of depth( Percenetage)</t>
  </si>
  <si>
    <t>Excavation in hard material Irrespective of depth( Percenetage)</t>
  </si>
  <si>
    <t>Footing Extension for slab culvert after masonry</t>
  </si>
  <si>
    <t>Footing thickness for slab culvert</t>
  </si>
  <si>
    <t>*** by just picking the CL of dwg</t>
  </si>
  <si>
    <t xml:space="preserve"> ---&gt;&gt;&gt;&gt;</t>
  </si>
  <si>
    <t xml:space="preserve"> ----&gt;&gt;&gt;</t>
  </si>
  <si>
    <t xml:space="preserve">     able to determine the Easting &amp; Northing </t>
  </si>
  <si>
    <t>Pipe Culvert</t>
  </si>
  <si>
    <t>*** finilize annotation</t>
  </si>
  <si>
    <t xml:space="preserve">   ** slope</t>
  </si>
  <si>
    <t xml:space="preserve">   ** invert elevation</t>
  </si>
  <si>
    <t xml:space="preserve">   ** inlet / outlet elevation</t>
  </si>
  <si>
    <t xml:space="preserve">   ** design elevation</t>
  </si>
  <si>
    <t>fill height</t>
  </si>
  <si>
    <t>fil height coordinate</t>
  </si>
  <si>
    <t>Center_L coordinate</t>
  </si>
  <si>
    <t>Concrete Pipes</t>
  </si>
  <si>
    <t>** adjust on plan drawing with skew.. If any but..</t>
  </si>
  <si>
    <t xml:space="preserve"> =IF(B20&gt;$B$4,IF(B20&lt;$B$5,B20,""),"")</t>
  </si>
  <si>
    <t xml:space="preserve"> =IF(D20="","",C20)</t>
  </si>
  <si>
    <t>extended points are:</t>
  </si>
  <si>
    <t>points in b/n are:-</t>
  </si>
  <si>
    <t>number</t>
  </si>
  <si>
    <t>picked points are:</t>
  </si>
  <si>
    <t>area</t>
  </si>
  <si>
    <t>area=</t>
  </si>
  <si>
    <t>extracted coordinates  list</t>
  </si>
  <si>
    <t>extract all the f.f with vba</t>
  </si>
  <si>
    <t>x'</t>
  </si>
  <si>
    <t>y'</t>
  </si>
  <si>
    <t>slope</t>
  </si>
  <si>
    <t>increment</t>
  </si>
  <si>
    <t>slope up.. Down</t>
  </si>
  <si>
    <t>pipeDIA</t>
  </si>
  <si>
    <t>thck</t>
  </si>
  <si>
    <t xml:space="preserve"> =(A7/1000+B7)</t>
  </si>
  <si>
    <t>** solve the issue of Multi-thread</t>
  </si>
  <si>
    <t>ph(0).. Adding 3 to i</t>
  </si>
  <si>
    <t>&gt;&gt;&gt;</t>
  </si>
  <si>
    <t>*** how about calling the userform forom a sub…??</t>
  </si>
  <si>
    <t>sub sfd()</t>
  </si>
  <si>
    <t xml:space="preserve">     call userform1()</t>
  </si>
  <si>
    <t>end sub</t>
  </si>
  <si>
    <t xml:space="preserve">   what user form can do is show up ths parts where it can make uyou</t>
  </si>
  <si>
    <t xml:space="preserve">  increase the slope OR decrease the slope…</t>
  </si>
  <si>
    <t>** thk_slab</t>
  </si>
  <si>
    <t>Pipe Culver Walls Data for Culvert Smart</t>
  </si>
  <si>
    <t>Pipe Detail</t>
  </si>
  <si>
    <t>Qty</t>
  </si>
  <si>
    <t>Excavation Width</t>
  </si>
  <si>
    <t>Back Fill</t>
  </si>
  <si>
    <t>Item</t>
  </si>
  <si>
    <t>Wall Type</t>
  </si>
  <si>
    <t>No</t>
  </si>
  <si>
    <r>
      <t>D</t>
    </r>
    <r>
      <rPr>
        <vertAlign val="subscript"/>
        <sz val="11"/>
        <color indexed="8"/>
        <rFont val="Calibri"/>
        <family val="2"/>
      </rPr>
      <t xml:space="preserve">i </t>
    </r>
    <r>
      <rPr>
        <sz val="10"/>
        <color theme="1"/>
        <rFont val="Arial"/>
        <family val="2"/>
      </rPr>
      <t>(mm)</t>
    </r>
  </si>
  <si>
    <t>t (m)</t>
  </si>
  <si>
    <r>
      <t>D</t>
    </r>
    <r>
      <rPr>
        <vertAlign val="subscript"/>
        <sz val="11"/>
        <color indexed="8"/>
        <rFont val="Calibri"/>
        <family val="2"/>
      </rPr>
      <t xml:space="preserve">o </t>
    </r>
    <r>
      <rPr>
        <sz val="10"/>
        <color theme="1"/>
        <rFont val="Arial"/>
        <family val="2"/>
      </rPr>
      <t>(m)</t>
    </r>
  </si>
  <si>
    <r>
      <t>L</t>
    </r>
    <r>
      <rPr>
        <vertAlign val="subscript"/>
        <sz val="11"/>
        <color indexed="8"/>
        <rFont val="Calibri"/>
        <family val="2"/>
      </rPr>
      <t>1</t>
    </r>
    <r>
      <rPr>
        <sz val="10"/>
        <color theme="1"/>
        <rFont val="Arial"/>
        <family val="2"/>
      </rPr>
      <t xml:space="preserve">  (m)</t>
    </r>
  </si>
  <si>
    <r>
      <t>L</t>
    </r>
    <r>
      <rPr>
        <vertAlign val="subscript"/>
        <sz val="11"/>
        <color indexed="8"/>
        <rFont val="Calibri"/>
        <family val="2"/>
      </rPr>
      <t>2</t>
    </r>
    <r>
      <rPr>
        <sz val="10"/>
        <color theme="1"/>
        <rFont val="Arial"/>
        <family val="2"/>
      </rPr>
      <t xml:space="preserve"> (m)</t>
    </r>
  </si>
  <si>
    <r>
      <t>L</t>
    </r>
    <r>
      <rPr>
        <vertAlign val="subscript"/>
        <sz val="11"/>
        <color indexed="8"/>
        <rFont val="Calibri"/>
        <family val="2"/>
      </rPr>
      <t>3</t>
    </r>
    <r>
      <rPr>
        <sz val="10"/>
        <color theme="1"/>
        <rFont val="Arial"/>
        <family val="2"/>
      </rPr>
      <t>(m)</t>
    </r>
  </si>
  <si>
    <r>
      <t>W</t>
    </r>
    <r>
      <rPr>
        <vertAlign val="subscript"/>
        <sz val="11"/>
        <color indexed="8"/>
        <rFont val="Calibri"/>
        <family val="2"/>
      </rPr>
      <t>1</t>
    </r>
    <r>
      <rPr>
        <sz val="10"/>
        <color theme="1"/>
        <rFont val="Arial"/>
        <family val="2"/>
      </rPr>
      <t xml:space="preserve"> (m)</t>
    </r>
  </si>
  <si>
    <r>
      <t>W</t>
    </r>
    <r>
      <rPr>
        <vertAlign val="subscript"/>
        <sz val="11"/>
        <color indexed="8"/>
        <rFont val="Calibri"/>
        <family val="2"/>
      </rPr>
      <t>2</t>
    </r>
    <r>
      <rPr>
        <sz val="10"/>
        <color theme="1"/>
        <rFont val="Arial"/>
        <family val="2"/>
      </rPr>
      <t xml:space="preserve"> (m)</t>
    </r>
  </si>
  <si>
    <r>
      <t>H</t>
    </r>
    <r>
      <rPr>
        <vertAlign val="subscript"/>
        <sz val="11"/>
        <color indexed="8"/>
        <rFont val="Calibri"/>
        <family val="2"/>
      </rPr>
      <t xml:space="preserve">1 </t>
    </r>
    <r>
      <rPr>
        <sz val="10"/>
        <color theme="1"/>
        <rFont val="Arial"/>
        <family val="2"/>
      </rPr>
      <t>(m)</t>
    </r>
  </si>
  <si>
    <r>
      <t>H</t>
    </r>
    <r>
      <rPr>
        <vertAlign val="subscript"/>
        <sz val="11"/>
        <color indexed="8"/>
        <rFont val="Calibri"/>
        <family val="2"/>
      </rPr>
      <t xml:space="preserve">2 </t>
    </r>
    <r>
      <rPr>
        <sz val="10"/>
        <color theme="1"/>
        <rFont val="Arial"/>
        <family val="2"/>
      </rPr>
      <t>(m)</t>
    </r>
  </si>
  <si>
    <r>
      <t>H</t>
    </r>
    <r>
      <rPr>
        <vertAlign val="subscript"/>
        <sz val="11"/>
        <color indexed="8"/>
        <rFont val="Calibri"/>
        <family val="2"/>
      </rPr>
      <t xml:space="preserve">3 </t>
    </r>
    <r>
      <rPr>
        <sz val="10"/>
        <color theme="1"/>
        <rFont val="Arial"/>
        <family val="2"/>
      </rPr>
      <t>(m)</t>
    </r>
  </si>
  <si>
    <r>
      <t>B</t>
    </r>
    <r>
      <rPr>
        <vertAlign val="subscript"/>
        <sz val="11"/>
        <color indexed="8"/>
        <rFont val="Calibri"/>
        <family val="2"/>
      </rPr>
      <t>1</t>
    </r>
    <r>
      <rPr>
        <sz val="10"/>
        <color theme="1"/>
        <rFont val="Arial"/>
        <family val="2"/>
      </rPr>
      <t xml:space="preserve"> (m)</t>
    </r>
  </si>
  <si>
    <r>
      <t>B</t>
    </r>
    <r>
      <rPr>
        <vertAlign val="subscript"/>
        <sz val="11"/>
        <color indexed="8"/>
        <rFont val="Calibri"/>
        <family val="2"/>
      </rPr>
      <t>2</t>
    </r>
    <r>
      <rPr>
        <sz val="10"/>
        <color theme="1"/>
        <rFont val="Arial"/>
        <family val="2"/>
      </rPr>
      <t xml:space="preserve"> (m)</t>
    </r>
  </si>
  <si>
    <t>Ma</t>
  </si>
  <si>
    <t>PWW</t>
  </si>
  <si>
    <t>Head Wall</t>
  </si>
  <si>
    <t>Paved Water W.</t>
  </si>
  <si>
    <t>Channel</t>
  </si>
  <si>
    <t>Barrel/m</t>
  </si>
  <si>
    <t>End Str.</t>
  </si>
  <si>
    <t>I</t>
  </si>
  <si>
    <t>R+C</t>
  </si>
  <si>
    <t>ERA 2013</t>
  </si>
  <si>
    <t>xo</t>
  </si>
  <si>
    <t>yo</t>
  </si>
  <si>
    <t>RIGHT</t>
  </si>
  <si>
    <t>Barrel _Coordinates</t>
  </si>
  <si>
    <t>End type strucutres</t>
  </si>
  <si>
    <t>SKEW ???</t>
  </si>
  <si>
    <t>ufr_select</t>
  </si>
  <si>
    <t>LOCATION</t>
  </si>
  <si>
    <t>Barrel</t>
  </si>
  <si>
    <t>Foundation Fill</t>
  </si>
  <si>
    <t>Pipe</t>
  </si>
  <si>
    <t>CL</t>
  </si>
  <si>
    <t>extend__CL</t>
  </si>
  <si>
    <t>xe</t>
  </si>
  <si>
    <t>ye</t>
  </si>
  <si>
    <t>HF</t>
  </si>
  <si>
    <t>slab culvert data</t>
  </si>
  <si>
    <t>Culvert Length of Struc</t>
  </si>
  <si>
    <t>BOX</t>
  </si>
  <si>
    <t>Span x Opening</t>
  </si>
  <si>
    <t>Slab(m)
Thickness</t>
  </si>
  <si>
    <t>Opening=</t>
  </si>
  <si>
    <t>SLABS&gt;&gt;</t>
  </si>
  <si>
    <t>slope of</t>
  </si>
  <si>
    <t>gridONly</t>
  </si>
  <si>
    <t>Structure End Wall</t>
  </si>
  <si>
    <t>End Wall of</t>
  </si>
  <si>
    <t>CULVERT SCHEDULE AND QUANTITY ESTIMATES</t>
  </si>
  <si>
    <t>ID</t>
  </si>
  <si>
    <t>Station</t>
  </si>
  <si>
    <t>Easting</t>
  </si>
  <si>
    <t>Northing</t>
  </si>
  <si>
    <t>Skew Angle</t>
  </si>
  <si>
    <t>Existing structure</t>
  </si>
  <si>
    <t>Proposed Structure</t>
  </si>
  <si>
    <t>Section Detail</t>
  </si>
  <si>
    <t>ESTIMATED QUANTITY</t>
  </si>
  <si>
    <t>New Length</t>
  </si>
  <si>
    <t>Extended Length</t>
  </si>
  <si>
    <t>Invert</t>
  </si>
  <si>
    <t>Slope</t>
  </si>
  <si>
    <t xml:space="preserve">Fill Height </t>
  </si>
  <si>
    <t>Excavation in soft material Irrespective of depth</t>
  </si>
  <si>
    <t>Excavation in hard material Irrespective of depth</t>
  </si>
  <si>
    <t xml:space="preserve">Channel Excavation </t>
  </si>
  <si>
    <t>Back Fill Using excavated materials from the site</t>
  </si>
  <si>
    <t xml:space="preserve">Removing existing structures </t>
  </si>
  <si>
    <t xml:space="preserve">New R.C. Pipes  </t>
  </si>
  <si>
    <t xml:space="preserve">Class-C concrete including formworks  </t>
  </si>
  <si>
    <t xml:space="preserve">Class-A concrete including formworks </t>
  </si>
  <si>
    <t>Class B Bedding</t>
  </si>
  <si>
    <t xml:space="preserve">Reinforcement steel </t>
  </si>
  <si>
    <t xml:space="preserve">High-yield steel (G420)  </t>
  </si>
  <si>
    <t xml:space="preserve">Mield steel (G420)  </t>
  </si>
  <si>
    <t xml:space="preserve">Class B Stone Masonry  </t>
  </si>
  <si>
    <t xml:space="preserve">Grouted Stone Pitching </t>
  </si>
  <si>
    <t>RC Cover for Vehicular crossing(200x100x25cm)</t>
  </si>
  <si>
    <t>RC Cover for pedstrian crossing(200x500x10cm)</t>
  </si>
  <si>
    <t>PedistrianSteel Railing Over At Grade 
Culverts</t>
  </si>
  <si>
    <t>Rehabilitation</t>
  </si>
  <si>
    <t xml:space="preserve">Type </t>
  </si>
  <si>
    <t>No. of cells</t>
  </si>
  <si>
    <t>Diam.</t>
  </si>
  <si>
    <t>Width</t>
  </si>
  <si>
    <t>Height</t>
  </si>
  <si>
    <t>Length</t>
  </si>
  <si>
    <t>END STRUCTURE TYPE</t>
  </si>
  <si>
    <t>Type</t>
  </si>
  <si>
    <t>Diameter</t>
  </si>
  <si>
    <t xml:space="preserve">Plain concrete </t>
  </si>
  <si>
    <t xml:space="preserve">Reinforced Concrete </t>
  </si>
  <si>
    <t xml:space="preserve">Cement-mortared stone masonry  </t>
  </si>
  <si>
    <t xml:space="preserve">Grouted stone pitching   </t>
  </si>
  <si>
    <t>Concrete pipes</t>
  </si>
  <si>
    <t>Bedding Type</t>
  </si>
  <si>
    <t>Diameter (mm)</t>
  </si>
  <si>
    <t>Right</t>
  </si>
  <si>
    <t>Center</t>
  </si>
  <si>
    <t xml:space="preserve">C-15 concrete   </t>
  </si>
  <si>
    <t>Sheating Material</t>
  </si>
  <si>
    <t>Km</t>
  </si>
  <si>
    <t>No.</t>
  </si>
  <si>
    <t>mm</t>
  </si>
  <si>
    <t>m</t>
  </si>
  <si>
    <t>Lt</t>
  </si>
  <si>
    <t>Rt</t>
  </si>
  <si>
    <t>%</t>
  </si>
  <si>
    <t>m3</t>
  </si>
  <si>
    <t>m2</t>
  </si>
  <si>
    <t>Kg</t>
  </si>
  <si>
    <t>no</t>
  </si>
  <si>
    <t>?</t>
  </si>
  <si>
    <t>wz_issue</t>
  </si>
  <si>
    <t>pgm</t>
  </si>
  <si>
    <t>to_be_filled</t>
  </si>
  <si>
    <t>Abrevations :-</t>
  </si>
  <si>
    <t>A:-  Type A End Structure</t>
  </si>
  <si>
    <t>N-RCP:-       New Reinforced Concrete Pipe</t>
  </si>
  <si>
    <t>R-RCP:-       Replaced Reinforced Concrete Pipe</t>
  </si>
  <si>
    <t>B:-  Type B End Structure</t>
  </si>
  <si>
    <t>N-SC:-          New Slab Culvert</t>
  </si>
  <si>
    <t>R-SC:-          Replaced Slab Culvert</t>
  </si>
  <si>
    <t>C:-  Type C End Structure</t>
  </si>
  <si>
    <t>N-BC:-          New Box Culvert</t>
  </si>
  <si>
    <t>R-BC:-          Replaced Box Culvert</t>
  </si>
  <si>
    <t>I:-  Type I End Structure</t>
  </si>
  <si>
    <t>E-RCP:-       Extended Reinforced Concrete Pipe</t>
  </si>
  <si>
    <t>A-RCP:-       Attached Box Culvert</t>
  </si>
  <si>
    <t>RW+ChD:-  Retaining Wall With Check Dam</t>
  </si>
  <si>
    <t>E-SC:-          Extended Slab Culvert</t>
  </si>
  <si>
    <t>D-RCP:-       Demolished Reinforced Concrete Pipe</t>
  </si>
  <si>
    <t>RCWW:-     RC Wing Wall</t>
  </si>
  <si>
    <t>E-BC:-          Extended Box Culvert</t>
  </si>
  <si>
    <t>D-SC:-          Demolished Slab Culvert</t>
  </si>
  <si>
    <t>DI:- Drop Inlet Structure</t>
  </si>
  <si>
    <t>D-BC:-          Demolished Box Culvert</t>
  </si>
  <si>
    <t>M_WW:-Massonary wing wall</t>
  </si>
  <si>
    <t>C + ChD:- Type C End Structure with Check Dam</t>
  </si>
  <si>
    <t>BOOK OF COMPUTATION</t>
  </si>
  <si>
    <t>SC_Barrel</t>
  </si>
  <si>
    <t>Concrete_works</t>
  </si>
  <si>
    <t>SC_Inlet</t>
  </si>
  <si>
    <t>SC_Outlet</t>
  </si>
  <si>
    <t>SC_Total</t>
  </si>
  <si>
    <t>Channel Outlet Data</t>
  </si>
  <si>
    <t>Class-A Conc./m length(From Standard DWG.</t>
  </si>
  <si>
    <t>Reinforcement steel  /m length(From Standard DWG.</t>
  </si>
  <si>
    <t xml:space="preserve">Total barrel reinfocement </t>
  </si>
  <si>
    <t>C-20 concrete</t>
  </si>
  <si>
    <t xml:space="preserve">C-15 Lean </t>
  </si>
  <si>
    <t>Class-A concrete including formworks (From Standard DWG)</t>
  </si>
  <si>
    <t xml:space="preserve">Reinforcement steel  (From Standard DWG) </t>
  </si>
  <si>
    <t>Grouted Stone Pitching</t>
  </si>
  <si>
    <t>Reinforcement stee</t>
  </si>
  <si>
    <t>Grouted Stone Pitching (For X-sing Structures)</t>
  </si>
  <si>
    <t>Grouted Stone Pitching (For Channalization)</t>
  </si>
  <si>
    <t>Grouted Stone Pitching (Total)</t>
  </si>
  <si>
    <t>Channel Masonary</t>
  </si>
  <si>
    <t>Channel Backfill</t>
  </si>
  <si>
    <t>Class C-20 concrete for channel masonary pad</t>
  </si>
  <si>
    <t>Class C-15 Lean concrete for channel masonary pad</t>
  </si>
  <si>
    <t xml:space="preserve">Paved Waterway </t>
  </si>
  <si>
    <t>End (Left Hand)  Masonary</t>
  </si>
  <si>
    <t>Barrel masonary</t>
  </si>
  <si>
    <r>
      <t>Excavation Area (m</t>
    </r>
    <r>
      <rPr>
        <vertAlign val="super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)</t>
    </r>
  </si>
  <si>
    <t>Excavation Width (m)</t>
  </si>
  <si>
    <r>
      <t>Excavation Volume (m</t>
    </r>
    <r>
      <rPr>
        <vertAlign val="super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>)</t>
    </r>
  </si>
  <si>
    <t>Area</t>
  </si>
  <si>
    <t>Volume</t>
  </si>
  <si>
    <t xml:space="preserve">volume </t>
  </si>
  <si>
    <t>Depth</t>
  </si>
  <si>
    <t xml:space="preserve">Volume </t>
  </si>
  <si>
    <t>A(X-S trans. d/n of road)</t>
  </si>
  <si>
    <t>W</t>
  </si>
  <si>
    <t>LHS Str.Back Fill</t>
  </si>
  <si>
    <t>A(X-S Long. d/n of road)</t>
  </si>
  <si>
    <t>Barrel Back Fill</t>
  </si>
  <si>
    <t>RHS Str.</t>
  </si>
  <si>
    <t>Total Back fill</t>
  </si>
  <si>
    <t>Area (m^2)</t>
  </si>
  <si>
    <t>Width(m)</t>
  </si>
  <si>
    <t>Volume(m^3)</t>
  </si>
  <si>
    <t>Area (M^2)</t>
  </si>
  <si>
    <r>
      <t>L</t>
    </r>
    <r>
      <rPr>
        <vertAlign val="subscript"/>
        <sz val="10"/>
        <color rgb="FF000000"/>
        <rFont val="Arial"/>
        <family val="2"/>
      </rPr>
      <t>channel</t>
    </r>
  </si>
  <si>
    <r>
      <t>R</t>
    </r>
    <r>
      <rPr>
        <vertAlign val="subscript"/>
        <sz val="10"/>
        <color rgb="FF000000"/>
        <rFont val="Arial"/>
        <family val="2"/>
      </rPr>
      <t>channel</t>
    </r>
  </si>
  <si>
    <r>
      <t>m</t>
    </r>
    <r>
      <rPr>
        <vertAlign val="superscript"/>
        <sz val="10"/>
        <color rgb="FF000000"/>
        <rFont val="Arial"/>
        <family val="2"/>
      </rPr>
      <t>3</t>
    </r>
  </si>
  <si>
    <t>area_of chord</t>
  </si>
  <si>
    <t>Data from Draw</t>
  </si>
  <si>
    <t>h1w</t>
  </si>
  <si>
    <t>h2w</t>
  </si>
  <si>
    <t>y1</t>
  </si>
  <si>
    <t>Lw</t>
  </si>
  <si>
    <t>Found_off</t>
  </si>
  <si>
    <t>Found_thk</t>
  </si>
  <si>
    <t>SLB_thk</t>
  </si>
  <si>
    <t>Pipe_Culvert_Data</t>
  </si>
  <si>
    <t>wi</t>
  </si>
  <si>
    <t>width_of_cross-section</t>
  </si>
  <si>
    <t xml:space="preserve">CLASS B STONE MASONRY 
(M3) </t>
  </si>
  <si>
    <t>GROUTED STONE PICHING
(M2)</t>
  </si>
  <si>
    <t>BACKFILL</t>
  </si>
  <si>
    <t>EXCAVATION</t>
  </si>
  <si>
    <t>hi</t>
  </si>
  <si>
    <t>height of section</t>
  </si>
  <si>
    <t>Excavation</t>
  </si>
  <si>
    <t>BARREL BACKFILL</t>
  </si>
  <si>
    <t>END STRUCTURE
BACKFILL
(M3)</t>
  </si>
  <si>
    <t>DATA</t>
  </si>
  <si>
    <t>Head wall Excav</t>
  </si>
  <si>
    <t xml:space="preserve">Barrel </t>
  </si>
  <si>
    <t>wing wall Excavation</t>
  </si>
  <si>
    <t>Paved WW Excavation</t>
  </si>
  <si>
    <t xml:space="preserve">  Channel Excavation</t>
  </si>
  <si>
    <t xml:space="preserve">TOTAL EXCAVATION </t>
  </si>
  <si>
    <t>th</t>
  </si>
  <si>
    <t>thichness of pipe</t>
  </si>
  <si>
    <t>Wing wall Excavation</t>
  </si>
  <si>
    <t>Bottom_PWW_Fill</t>
  </si>
  <si>
    <t xml:space="preserve">             Wing_Wall_BackFill</t>
  </si>
  <si>
    <t>Total</t>
  </si>
  <si>
    <t>BARREL DIMENSION
(M)</t>
  </si>
  <si>
    <t>BARREL SECTION AREA BACKFILL
(M)</t>
  </si>
  <si>
    <t>BARREL BACKFILL
(M3)</t>
  </si>
  <si>
    <t>Excav</t>
  </si>
  <si>
    <t>A1</t>
  </si>
  <si>
    <t>A2</t>
  </si>
  <si>
    <t>A3</t>
  </si>
  <si>
    <t>A4</t>
  </si>
  <si>
    <t>A(Total)</t>
  </si>
  <si>
    <t>V</t>
  </si>
  <si>
    <t>Back
Fill</t>
  </si>
  <si>
    <t xml:space="preserve"> For Left End Structure</t>
  </si>
  <si>
    <t xml:space="preserve"> For Right End Structure</t>
  </si>
  <si>
    <t xml:space="preserve"> For Barrel </t>
  </si>
  <si>
    <t>LEFT
(M3)</t>
  </si>
  <si>
    <t>RIGHT
(M3)</t>
  </si>
  <si>
    <t>LEFT
(M2)</t>
  </si>
  <si>
    <t>RIGHT
(M2)</t>
  </si>
  <si>
    <t>TOTAL 
LENGTH
(M)</t>
  </si>
  <si>
    <t>LEFT
(M)</t>
  </si>
  <si>
    <t>RIGHT
(M)</t>
  </si>
  <si>
    <t>width</t>
  </si>
  <si>
    <t>BC_Barrel</t>
  </si>
  <si>
    <t>BC_Inlet</t>
  </si>
  <si>
    <t>BC_Outlet</t>
  </si>
  <si>
    <t>BC_Total</t>
  </si>
  <si>
    <t xml:space="preserve">       TOTAL BOQ</t>
  </si>
  <si>
    <t>&lt;&lt;&lt;&lt;&lt; scale adjust</t>
  </si>
  <si>
    <t>offset distance bottom one found at adjust…button…</t>
  </si>
  <si>
    <t>Edge_beam_Thickness</t>
  </si>
  <si>
    <t>Slab</t>
  </si>
  <si>
    <t>Box</t>
  </si>
  <si>
    <t>Box_inlet_Elevations</t>
  </si>
  <si>
    <t>Box_Outlet_Elevations</t>
  </si>
  <si>
    <t>Box_Invert_Elevations</t>
  </si>
  <si>
    <t>Box_CL_coordinate</t>
  </si>
  <si>
    <t>Box_FoundFill__(x,y)</t>
  </si>
  <si>
    <t>Foundation __fill_cr</t>
  </si>
  <si>
    <t>C:\Users\User\Documents</t>
  </si>
  <si>
    <t>Barrel_Exca_</t>
  </si>
  <si>
    <t>right</t>
  </si>
  <si>
    <t>Head_wall</t>
  </si>
  <si>
    <t>r</t>
  </si>
  <si>
    <t>STA =11+903.02</t>
  </si>
  <si>
    <t>STA =9+885.65</t>
  </si>
  <si>
    <t>STA =9+654.69</t>
  </si>
  <si>
    <t>STA =9+551.41</t>
  </si>
  <si>
    <t>STA =9+121.64</t>
  </si>
  <si>
    <t>STA =8+773.48</t>
  </si>
  <si>
    <t>STA =8+579.20</t>
  </si>
  <si>
    <t>STA =7+969.76</t>
  </si>
  <si>
    <t>STA =7+784.17</t>
  </si>
  <si>
    <t>STA =7+740.55</t>
  </si>
  <si>
    <t>STA =7+321.67</t>
  </si>
  <si>
    <t>STA =7+165.81</t>
  </si>
  <si>
    <t>STA =5+563.14</t>
  </si>
  <si>
    <t>STA =105+001.00</t>
  </si>
  <si>
    <t>STA =98+760</t>
  </si>
  <si>
    <t>STA =101+800.00</t>
  </si>
  <si>
    <t>STA =101+570.00</t>
  </si>
  <si>
    <t>STA =101+120.00</t>
  </si>
  <si>
    <t>STA =98+850.00</t>
  </si>
  <si>
    <t>STA =100+030.00</t>
  </si>
  <si>
    <t>STA =101+492.00</t>
  </si>
  <si>
    <t>STA =102+930.00</t>
  </si>
  <si>
    <t>ms</t>
  </si>
  <si>
    <t>STA =104+470.00</t>
  </si>
  <si>
    <t>STA =103+990.00</t>
  </si>
  <si>
    <t>STA =103+820.00</t>
  </si>
  <si>
    <t>NHUDP</t>
  </si>
  <si>
    <t>STA 05</t>
  </si>
  <si>
    <t>STA 04</t>
  </si>
  <si>
    <t>STA 03</t>
  </si>
  <si>
    <t>STA 02</t>
  </si>
  <si>
    <t>STA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</si>
</sst>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\+000"/>
    <numFmt numFmtId="165" formatCode="0.00&quot;m&quot;"/>
    <numFmt numFmtId="166" formatCode="0&quot; Degree&quot;"/>
    <numFmt numFmtId="167" formatCode="0.000"/>
    <numFmt numFmtId="168" formatCode="0.00&quot; %&quot;"/>
    <numFmt numFmtId="169" formatCode="&quot;C -&quot;000"/>
    <numFmt numFmtId="170" formatCode="0.0"/>
  </numFmts>
  <fonts count="55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7030A0"/>
      <name val="Arial"/>
      <family val="2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18"/>
      <color theme="1"/>
      <name val="Arial"/>
      <family val="2"/>
    </font>
    <font>
      <sz val="11"/>
      <color rgb="FF000000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sz val="8"/>
      <color indexed="81"/>
      <name val="Tahoma"/>
      <family val="2"/>
    </font>
    <font>
      <vertAlign val="subscript"/>
      <sz val="11"/>
      <color indexed="8"/>
      <name val="Calibri"/>
      <family val="2"/>
    </font>
    <font>
      <b/>
      <sz val="16"/>
      <color theme="1"/>
      <name val="Adobe Ming Std L"/>
      <family val="1"/>
      <charset val="128"/>
    </font>
    <font>
      <b/>
      <sz val="10"/>
      <color rgb="FFFF0000"/>
      <name val="Arial"/>
      <family val="2"/>
    </font>
    <font>
      <b/>
      <sz val="11"/>
      <color rgb="FF000000"/>
      <name val="Arial"/>
      <family val="2"/>
    </font>
    <font>
      <sz val="9"/>
      <color rgb="FF000000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  <font>
      <sz val="11"/>
      <color rgb="FF000000"/>
      <name val="Calibri"/>
      <family val="2"/>
      <scheme val="minor"/>
    </font>
    <font>
      <u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vertAlign val="superscript"/>
      <sz val="10"/>
      <color rgb="FF000000"/>
      <name val="Arial"/>
      <family val="2"/>
    </font>
    <font>
      <vertAlign val="subscript"/>
      <sz val="10"/>
      <color rgb="FF000000"/>
      <name val="Arial"/>
      <family val="2"/>
    </font>
    <font>
      <sz val="9"/>
      <color rgb="FFC00000"/>
      <name val="Arial"/>
      <family val="2"/>
    </font>
    <font>
      <b/>
      <sz val="11"/>
      <color rgb="FF000000"/>
      <name val="New times"/>
    </font>
    <font>
      <sz val="10"/>
      <color rgb="FF000000"/>
      <name val="New times"/>
    </font>
    <font>
      <sz val="10"/>
      <name val="New times"/>
    </font>
    <font>
      <b/>
      <sz val="10"/>
      <color rgb="FF000000"/>
      <name val="New times"/>
    </font>
    <font>
      <sz val="12"/>
      <color rgb="FF000000"/>
      <name val="New times"/>
    </font>
    <font>
      <sz val="11"/>
      <name val="Arial"/>
      <family val="2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indexed="81"/>
      <name val="Tahoma"/>
      <family val="2"/>
    </font>
    <font>
      <sz val="11"/>
      <color theme="5"/>
      <name val="Calibri"/>
      <family val="2"/>
      <scheme val="minor"/>
    </font>
    <font>
      <sz val="10"/>
      <color rgb="FF0070C0"/>
      <name val="Arial"/>
      <family val="2"/>
    </font>
    <font>
      <b/>
      <sz val="10"/>
      <name val="Arial"/>
      <family val="2"/>
    </font>
    <font>
      <b/>
      <i/>
      <sz val="10"/>
      <color rgb="FFFF0000"/>
      <name val="Arial"/>
      <family val="2"/>
    </font>
    <font>
      <i/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double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indexed="64"/>
      </right>
      <top/>
      <bottom style="double">
        <color indexed="64"/>
      </bottom>
      <diagonal/>
    </border>
    <border>
      <left style="hair">
        <color auto="1"/>
      </left>
      <right/>
      <top/>
      <bottom style="double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/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10" fillId="0" borderId="0"/>
    <xf numFmtId="0" fontId="9" fillId="0" borderId="0"/>
    <xf numFmtId="0" fontId="8" fillId="0" borderId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</cellStyleXfs>
  <cellXfs count="669">
    <xf numFmtId="0" fontId="0" fillId="0" borderId="0" xfId="0"/>
    <xf numFmtId="0" fontId="0" fillId="2" borderId="4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Border="1" applyAlignment="1">
      <alignment horizontal="right"/>
    </xf>
    <xf numFmtId="0" fontId="11" fillId="2" borderId="0" xfId="0" applyFont="1" applyFill="1" applyBorder="1" applyAlignment="1"/>
    <xf numFmtId="0" fontId="11" fillId="2" borderId="7" xfId="0" applyFont="1" applyFill="1" applyBorder="1" applyAlignment="1"/>
    <xf numFmtId="0" fontId="0" fillId="2" borderId="3" xfId="0" applyFill="1" applyBorder="1"/>
    <xf numFmtId="0" fontId="0" fillId="2" borderId="8" xfId="0" applyFill="1" applyBorder="1" applyAlignment="1">
      <alignment horizontal="left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 applyAlignment="1">
      <alignment horizontal="left"/>
    </xf>
    <xf numFmtId="0" fontId="0" fillId="2" borderId="3" xfId="0" applyFill="1" applyBorder="1" applyAlignment="1">
      <alignment horizontal="right"/>
    </xf>
    <xf numFmtId="0" fontId="0" fillId="2" borderId="2" xfId="0" applyFill="1" applyBorder="1"/>
    <xf numFmtId="0" fontId="0" fillId="2" borderId="8" xfId="0" applyFill="1" applyBorder="1"/>
    <xf numFmtId="0" fontId="0" fillId="2" borderId="5" xfId="0" applyFill="1" applyBorder="1"/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14" fillId="2" borderId="8" xfId="0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4" fillId="2" borderId="3" xfId="0" applyFont="1" applyFill="1" applyBorder="1"/>
    <xf numFmtId="0" fontId="0" fillId="0" borderId="12" xfId="0" applyBorder="1"/>
    <xf numFmtId="0" fontId="0" fillId="0" borderId="7" xfId="0" applyBorder="1"/>
    <xf numFmtId="0" fontId="0" fillId="0" borderId="1" xfId="0" applyBorder="1"/>
    <xf numFmtId="0" fontId="0" fillId="0" borderId="4" xfId="0" applyBorder="1"/>
    <xf numFmtId="0" fontId="0" fillId="0" borderId="9" xfId="0" applyBorder="1"/>
    <xf numFmtId="0" fontId="0" fillId="0" borderId="6" xfId="0" applyBorder="1"/>
    <xf numFmtId="0" fontId="0" fillId="0" borderId="13" xfId="0" applyBorder="1"/>
    <xf numFmtId="165" fontId="14" fillId="5" borderId="4" xfId="0" applyNumberFormat="1" applyFont="1" applyFill="1" applyBorder="1" applyAlignment="1">
      <alignment horizontal="left"/>
    </xf>
    <xf numFmtId="0" fontId="0" fillId="4" borderId="12" xfId="0" applyFill="1" applyBorder="1"/>
    <xf numFmtId="0" fontId="0" fillId="2" borderId="11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14" fillId="7" borderId="4" xfId="0" applyFont="1" applyFill="1" applyBorder="1" applyAlignment="1">
      <alignment horizontal="left"/>
    </xf>
    <xf numFmtId="0" fontId="9" fillId="0" borderId="0" xfId="2"/>
    <xf numFmtId="0" fontId="9" fillId="0" borderId="16" xfId="2" applyBorder="1" applyAlignment="1">
      <alignment horizontal="center" vertical="center"/>
    </xf>
    <xf numFmtId="0" fontId="9" fillId="0" borderId="17" xfId="2" applyBorder="1" applyAlignment="1">
      <alignment horizontal="center" vertical="center"/>
    </xf>
    <xf numFmtId="0" fontId="9" fillId="0" borderId="18" xfId="2" applyBorder="1" applyAlignment="1">
      <alignment horizontal="center"/>
    </xf>
    <xf numFmtId="2" fontId="9" fillId="0" borderId="18" xfId="2" applyNumberFormat="1" applyBorder="1" applyAlignment="1">
      <alignment horizontal="center"/>
    </xf>
    <xf numFmtId="0" fontId="9" fillId="0" borderId="19" xfId="2" applyBorder="1" applyAlignment="1">
      <alignment horizontal="center" vertical="center"/>
    </xf>
    <xf numFmtId="0" fontId="9" fillId="0" borderId="15" xfId="2" applyBorder="1" applyAlignment="1">
      <alignment horizontal="center"/>
    </xf>
    <xf numFmtId="2" fontId="9" fillId="0" borderId="15" xfId="2" applyNumberFormat="1" applyBorder="1" applyAlignment="1">
      <alignment horizontal="center"/>
    </xf>
    <xf numFmtId="0" fontId="9" fillId="0" borderId="0" xfId="2" applyBorder="1" applyAlignment="1">
      <alignment horizontal="center"/>
    </xf>
    <xf numFmtId="0" fontId="9" fillId="0" borderId="0" xfId="2" applyBorder="1"/>
    <xf numFmtId="0" fontId="9" fillId="0" borderId="0" xfId="2" applyBorder="1" applyAlignment="1">
      <alignment horizontal="center" wrapText="1"/>
    </xf>
    <xf numFmtId="0" fontId="9" fillId="0" borderId="0" xfId="2" applyBorder="1" applyAlignment="1">
      <alignment horizontal="center" vertical="center"/>
    </xf>
    <xf numFmtId="1" fontId="9" fillId="0" borderId="15" xfId="2" applyNumberFormat="1" applyFill="1" applyBorder="1" applyAlignment="1">
      <alignment horizontal="center"/>
    </xf>
    <xf numFmtId="2" fontId="9" fillId="0" borderId="24" xfId="2" applyNumberFormat="1" applyBorder="1" applyAlignment="1">
      <alignment horizontal="center"/>
    </xf>
    <xf numFmtId="2" fontId="9" fillId="5" borderId="24" xfId="2" applyNumberFormat="1" applyFill="1" applyBorder="1" applyAlignment="1">
      <alignment horizontal="center"/>
    </xf>
    <xf numFmtId="0" fontId="9" fillId="0" borderId="24" xfId="2" applyBorder="1" applyAlignment="1">
      <alignment horizontal="center"/>
    </xf>
    <xf numFmtId="0" fontId="18" fillId="9" borderId="43" xfId="2" applyFont="1" applyFill="1" applyBorder="1" applyAlignment="1">
      <alignment wrapText="1"/>
    </xf>
    <xf numFmtId="0" fontId="18" fillId="9" borderId="44" xfId="2" applyFont="1" applyFill="1" applyBorder="1" applyAlignment="1">
      <alignment wrapText="1"/>
    </xf>
    <xf numFmtId="0" fontId="18" fillId="9" borderId="45" xfId="2" applyFont="1" applyFill="1" applyBorder="1" applyAlignment="1">
      <alignment wrapText="1"/>
    </xf>
    <xf numFmtId="0" fontId="18" fillId="9" borderId="46" xfId="2" applyFont="1" applyFill="1" applyBorder="1" applyAlignment="1">
      <alignment wrapText="1"/>
    </xf>
    <xf numFmtId="0" fontId="0" fillId="2" borderId="6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5" xfId="0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2" borderId="0" xfId="0" applyFill="1"/>
    <xf numFmtId="0" fontId="20" fillId="0" borderId="0" xfId="0" applyFont="1"/>
    <xf numFmtId="164" fontId="14" fillId="2" borderId="1" xfId="0" applyNumberFormat="1" applyFont="1" applyFill="1" applyBorder="1" applyAlignment="1">
      <alignment horizontal="left"/>
    </xf>
    <xf numFmtId="0" fontId="0" fillId="3" borderId="4" xfId="0" applyFont="1" applyFill="1" applyBorder="1" applyAlignment="1">
      <alignment horizontal="left"/>
    </xf>
    <xf numFmtId="0" fontId="8" fillId="0" borderId="0" xfId="3"/>
    <xf numFmtId="0" fontId="8" fillId="0" borderId="10" xfId="3" applyBorder="1"/>
    <xf numFmtId="0" fontId="8" fillId="0" borderId="11" xfId="3" applyBorder="1"/>
    <xf numFmtId="0" fontId="8" fillId="6" borderId="1" xfId="3" applyFill="1" applyBorder="1"/>
    <xf numFmtId="0" fontId="8" fillId="0" borderId="1" xfId="3" applyBorder="1"/>
    <xf numFmtId="0" fontId="8" fillId="10" borderId="0" xfId="3" applyFill="1"/>
    <xf numFmtId="0" fontId="19" fillId="6" borderId="10" xfId="3" applyFont="1" applyFill="1" applyBorder="1"/>
    <xf numFmtId="0" fontId="19" fillId="6" borderId="11" xfId="3" applyFont="1" applyFill="1" applyBorder="1"/>
    <xf numFmtId="0" fontId="16" fillId="0" borderId="0" xfId="3" applyFont="1"/>
    <xf numFmtId="0" fontId="8" fillId="6" borderId="0" xfId="3" applyFill="1"/>
    <xf numFmtId="0" fontId="0" fillId="11" borderId="1" xfId="0" applyFill="1" applyBorder="1"/>
    <xf numFmtId="0" fontId="0" fillId="12" borderId="1" xfId="0" applyFill="1" applyBorder="1"/>
    <xf numFmtId="0" fontId="17" fillId="0" borderId="1" xfId="0" applyFont="1" applyBorder="1"/>
    <xf numFmtId="0" fontId="19" fillId="0" borderId="0" xfId="0" applyFont="1"/>
    <xf numFmtId="0" fontId="16" fillId="0" borderId="0" xfId="0" applyFont="1"/>
    <xf numFmtId="0" fontId="23" fillId="0" borderId="0" xfId="0" applyFont="1"/>
    <xf numFmtId="0" fontId="0" fillId="12" borderId="0" xfId="0" applyFill="1"/>
    <xf numFmtId="0" fontId="0" fillId="0" borderId="3" xfId="0" applyBorder="1"/>
    <xf numFmtId="0" fontId="0" fillId="0" borderId="8" xfId="0" applyBorder="1"/>
    <xf numFmtId="0" fontId="24" fillId="0" borderId="0" xfId="0" applyFont="1"/>
    <xf numFmtId="0" fontId="24" fillId="0" borderId="1" xfId="0" applyFont="1" applyBorder="1"/>
    <xf numFmtId="166" fontId="14" fillId="8" borderId="6" xfId="0" applyNumberFormat="1" applyFont="1" applyFill="1" applyBorder="1" applyAlignment="1">
      <alignment horizontal="left"/>
    </xf>
    <xf numFmtId="0" fontId="9" fillId="0" borderId="20" xfId="2" applyBorder="1" applyAlignment="1">
      <alignment horizontal="center" vertical="center"/>
    </xf>
    <xf numFmtId="0" fontId="9" fillId="0" borderId="14" xfId="2" applyBorder="1" applyAlignment="1">
      <alignment horizontal="center"/>
    </xf>
    <xf numFmtId="0" fontId="9" fillId="0" borderId="11" xfId="2" applyBorder="1" applyAlignment="1">
      <alignment horizontal="center"/>
    </xf>
    <xf numFmtId="0" fontId="0" fillId="6" borderId="58" xfId="0" applyFill="1" applyBorder="1" applyAlignment="1">
      <alignment horizontal="center"/>
    </xf>
    <xf numFmtId="0" fontId="0" fillId="6" borderId="60" xfId="0" applyFill="1" applyBorder="1" applyAlignment="1">
      <alignment horizontal="center"/>
    </xf>
    <xf numFmtId="0" fontId="0" fillId="6" borderId="60" xfId="0" applyFill="1" applyBorder="1" applyAlignment="1">
      <alignment horizontal="center" textRotation="90"/>
    </xf>
    <xf numFmtId="0" fontId="0" fillId="6" borderId="61" xfId="0" applyFill="1" applyBorder="1" applyAlignment="1">
      <alignment horizontal="center"/>
    </xf>
    <xf numFmtId="0" fontId="0" fillId="6" borderId="61" xfId="0" applyFill="1" applyBorder="1" applyAlignment="1">
      <alignment horizontal="center" wrapText="1"/>
    </xf>
    <xf numFmtId="0" fontId="0" fillId="6" borderId="62" xfId="0" applyFill="1" applyBorder="1" applyAlignment="1">
      <alignment horizontal="center"/>
    </xf>
    <xf numFmtId="0" fontId="0" fillId="6" borderId="61" xfId="0" applyFill="1" applyBorder="1" applyAlignment="1">
      <alignment horizontal="center" textRotation="90"/>
    </xf>
    <xf numFmtId="0" fontId="0" fillId="6" borderId="63" xfId="0" applyFill="1" applyBorder="1" applyAlignment="1">
      <alignment horizontal="center" textRotation="90"/>
    </xf>
    <xf numFmtId="0" fontId="0" fillId="0" borderId="0" xfId="0" applyAlignment="1">
      <alignment horizontal="center"/>
    </xf>
    <xf numFmtId="0" fontId="0" fillId="0" borderId="64" xfId="0" applyFill="1" applyBorder="1" applyAlignment="1">
      <alignment horizontal="center"/>
    </xf>
    <xf numFmtId="0" fontId="18" fillId="0" borderId="27" xfId="0" applyFont="1" applyFill="1" applyBorder="1" applyAlignment="1">
      <alignment horizontal="center"/>
    </xf>
    <xf numFmtId="1" fontId="18" fillId="0" borderId="27" xfId="0" applyNumberFormat="1" applyFont="1" applyFill="1" applyBorder="1" applyAlignment="1">
      <alignment horizontal="center"/>
    </xf>
    <xf numFmtId="2" fontId="18" fillId="0" borderId="27" xfId="0" applyNumberFormat="1" applyFont="1" applyFill="1" applyBorder="1" applyAlignment="1">
      <alignment horizontal="center"/>
    </xf>
    <xf numFmtId="2" fontId="18" fillId="0" borderId="28" xfId="0" applyNumberFormat="1" applyFont="1" applyFill="1" applyBorder="1" applyAlignment="1">
      <alignment horizontal="center"/>
    </xf>
    <xf numFmtId="2" fontId="18" fillId="0" borderId="65" xfId="0" applyNumberFormat="1" applyFont="1" applyFill="1" applyBorder="1" applyAlignment="1">
      <alignment horizontal="center"/>
    </xf>
    <xf numFmtId="2" fontId="18" fillId="0" borderId="64" xfId="0" applyNumberFormat="1" applyFont="1" applyFill="1" applyBorder="1" applyAlignment="1">
      <alignment horizontal="center"/>
    </xf>
    <xf numFmtId="2" fontId="0" fillId="0" borderId="66" xfId="0" applyNumberFormat="1" applyFill="1" applyBorder="1" applyAlignment="1">
      <alignment horizontal="center"/>
    </xf>
    <xf numFmtId="2" fontId="0" fillId="0" borderId="64" xfId="0" applyNumberForma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29" xfId="0" applyNumberFormat="1" applyFill="1" applyBorder="1" applyAlignment="1">
      <alignment horizontal="center"/>
    </xf>
    <xf numFmtId="2" fontId="0" fillId="0" borderId="37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1" fontId="18" fillId="0" borderId="15" xfId="0" applyNumberFormat="1" applyFont="1" applyFill="1" applyBorder="1" applyAlignment="1">
      <alignment horizontal="center"/>
    </xf>
    <xf numFmtId="2" fontId="18" fillId="0" borderId="15" xfId="0" applyNumberFormat="1" applyFont="1" applyFill="1" applyBorder="1" applyAlignment="1">
      <alignment horizontal="center"/>
    </xf>
    <xf numFmtId="2" fontId="18" fillId="0" borderId="22" xfId="0" applyNumberFormat="1" applyFont="1" applyFill="1" applyBorder="1" applyAlignment="1">
      <alignment horizontal="center"/>
    </xf>
    <xf numFmtId="2" fontId="18" fillId="0" borderId="29" xfId="0" applyNumberFormat="1" applyFont="1" applyFill="1" applyBorder="1" applyAlignment="1">
      <alignment horizontal="center"/>
    </xf>
    <xf numFmtId="2" fontId="18" fillId="0" borderId="37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38" xfId="0" applyFill="1" applyBorder="1" applyAlignment="1">
      <alignment horizontal="center"/>
    </xf>
    <xf numFmtId="0" fontId="18" fillId="0" borderId="26" xfId="0" applyFont="1" applyFill="1" applyBorder="1" applyAlignment="1">
      <alignment horizontal="center"/>
    </xf>
    <xf numFmtId="1" fontId="18" fillId="0" borderId="26" xfId="0" applyNumberFormat="1" applyFont="1" applyFill="1" applyBorder="1" applyAlignment="1">
      <alignment horizontal="center"/>
    </xf>
    <xf numFmtId="2" fontId="18" fillId="0" borderId="26" xfId="0" applyNumberFormat="1" applyFont="1" applyFill="1" applyBorder="1" applyAlignment="1">
      <alignment horizontal="center"/>
    </xf>
    <xf numFmtId="2" fontId="18" fillId="0" borderId="30" xfId="0" applyNumberFormat="1" applyFont="1" applyFill="1" applyBorder="1" applyAlignment="1">
      <alignment horizontal="center"/>
    </xf>
    <xf numFmtId="2" fontId="18" fillId="0" borderId="23" xfId="0" applyNumberFormat="1" applyFont="1" applyFill="1" applyBorder="1" applyAlignment="1">
      <alignment horizontal="center"/>
    </xf>
    <xf numFmtId="2" fontId="18" fillId="0" borderId="38" xfId="0" applyNumberFormat="1" applyFont="1" applyFill="1" applyBorder="1" applyAlignment="1">
      <alignment horizontal="center"/>
    </xf>
    <xf numFmtId="2" fontId="0" fillId="0" borderId="39" xfId="0" applyNumberFormat="1" applyFill="1" applyBorder="1" applyAlignment="1">
      <alignment horizontal="center"/>
    </xf>
    <xf numFmtId="2" fontId="0" fillId="0" borderId="38" xfId="0" applyNumberFormat="1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18" fillId="0" borderId="42" xfId="0" applyFont="1" applyFill="1" applyBorder="1" applyAlignment="1">
      <alignment horizontal="center"/>
    </xf>
    <xf numFmtId="1" fontId="18" fillId="0" borderId="42" xfId="0" applyNumberFormat="1" applyFont="1" applyFill="1" applyBorder="1" applyAlignment="1">
      <alignment horizontal="center"/>
    </xf>
    <xf numFmtId="2" fontId="18" fillId="0" borderId="42" xfId="0" applyNumberFormat="1" applyFont="1" applyFill="1" applyBorder="1" applyAlignment="1">
      <alignment horizontal="center"/>
    </xf>
    <xf numFmtId="2" fontId="18" fillId="0" borderId="68" xfId="0" applyNumberFormat="1" applyFont="1" applyFill="1" applyBorder="1" applyAlignment="1">
      <alignment horizontal="center"/>
    </xf>
    <xf numFmtId="2" fontId="18" fillId="0" borderId="69" xfId="0" applyNumberFormat="1" applyFont="1" applyFill="1" applyBorder="1" applyAlignment="1">
      <alignment horizontal="center"/>
    </xf>
    <xf numFmtId="2" fontId="18" fillId="0" borderId="67" xfId="0" applyNumberFormat="1" applyFont="1" applyFill="1" applyBorder="1" applyAlignment="1">
      <alignment horizontal="center"/>
    </xf>
    <xf numFmtId="2" fontId="0" fillId="0" borderId="70" xfId="0" applyNumberFormat="1" applyFill="1" applyBorder="1" applyAlignment="1">
      <alignment horizontal="center"/>
    </xf>
    <xf numFmtId="2" fontId="0" fillId="0" borderId="67" xfId="0" applyNumberFormat="1" applyFill="1" applyBorder="1" applyAlignment="1">
      <alignment horizontal="center"/>
    </xf>
    <xf numFmtId="0" fontId="0" fillId="0" borderId="71" xfId="0" applyFill="1" applyBorder="1" applyAlignment="1">
      <alignment horizontal="center"/>
    </xf>
    <xf numFmtId="0" fontId="18" fillId="0" borderId="72" xfId="0" applyFont="1" applyFill="1" applyBorder="1" applyAlignment="1">
      <alignment horizontal="center"/>
    </xf>
    <xf numFmtId="1" fontId="18" fillId="0" borderId="72" xfId="0" applyNumberFormat="1" applyFont="1" applyFill="1" applyBorder="1" applyAlignment="1">
      <alignment horizontal="center"/>
    </xf>
    <xf numFmtId="2" fontId="18" fillId="0" borderId="72" xfId="0" applyNumberFormat="1" applyFont="1" applyFill="1" applyBorder="1" applyAlignment="1">
      <alignment horizontal="center"/>
    </xf>
    <xf numFmtId="2" fontId="18" fillId="0" borderId="73" xfId="0" applyNumberFormat="1" applyFont="1" applyFill="1" applyBorder="1" applyAlignment="1">
      <alignment horizontal="center"/>
    </xf>
    <xf numFmtId="2" fontId="18" fillId="0" borderId="74" xfId="0" applyNumberFormat="1" applyFont="1" applyFill="1" applyBorder="1" applyAlignment="1">
      <alignment horizontal="center"/>
    </xf>
    <xf numFmtId="2" fontId="18" fillId="0" borderId="71" xfId="0" applyNumberFormat="1" applyFont="1" applyFill="1" applyBorder="1" applyAlignment="1">
      <alignment horizontal="center"/>
    </xf>
    <xf numFmtId="2" fontId="0" fillId="0" borderId="75" xfId="0" applyNumberFormat="1" applyFill="1" applyBorder="1" applyAlignment="1">
      <alignment horizontal="center"/>
    </xf>
    <xf numFmtId="2" fontId="0" fillId="0" borderId="71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18" fillId="0" borderId="24" xfId="0" applyFont="1" applyFill="1" applyBorder="1" applyAlignment="1">
      <alignment horizontal="center"/>
    </xf>
    <xf numFmtId="1" fontId="18" fillId="0" borderId="24" xfId="0" applyNumberFormat="1" applyFont="1" applyFill="1" applyBorder="1" applyAlignment="1">
      <alignment horizontal="center"/>
    </xf>
    <xf numFmtId="2" fontId="18" fillId="0" borderId="24" xfId="0" applyNumberFormat="1" applyFont="1" applyFill="1" applyBorder="1" applyAlignment="1">
      <alignment horizontal="center"/>
    </xf>
    <xf numFmtId="2" fontId="18" fillId="0" borderId="34" xfId="0" applyNumberFormat="1" applyFont="1" applyFill="1" applyBorder="1" applyAlignment="1">
      <alignment horizontal="center"/>
    </xf>
    <xf numFmtId="2" fontId="18" fillId="0" borderId="35" xfId="0" applyNumberFormat="1" applyFont="1" applyFill="1" applyBorder="1" applyAlignment="1">
      <alignment horizontal="center"/>
    </xf>
    <xf numFmtId="2" fontId="18" fillId="0" borderId="32" xfId="0" applyNumberFormat="1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18" fillId="0" borderId="40" xfId="0" applyFont="1" applyFill="1" applyBorder="1" applyAlignment="1">
      <alignment horizontal="center"/>
    </xf>
    <xf numFmtId="1" fontId="18" fillId="0" borderId="40" xfId="0" applyNumberFormat="1" applyFont="1" applyFill="1" applyBorder="1" applyAlignment="1">
      <alignment horizontal="center"/>
    </xf>
    <xf numFmtId="2" fontId="18" fillId="0" borderId="40" xfId="0" applyNumberFormat="1" applyFont="1" applyFill="1" applyBorder="1" applyAlignment="1">
      <alignment horizontal="center"/>
    </xf>
    <xf numFmtId="2" fontId="18" fillId="0" borderId="76" xfId="0" applyNumberFormat="1" applyFont="1" applyFill="1" applyBorder="1" applyAlignment="1">
      <alignment horizontal="center"/>
    </xf>
    <xf numFmtId="2" fontId="18" fillId="0" borderId="77" xfId="0" applyNumberFormat="1" applyFont="1" applyFill="1" applyBorder="1" applyAlignment="1">
      <alignment horizontal="center"/>
    </xf>
    <xf numFmtId="2" fontId="18" fillId="0" borderId="36" xfId="0" applyNumberFormat="1" applyFont="1" applyFill="1" applyBorder="1" applyAlignment="1">
      <alignment horizontal="center"/>
    </xf>
    <xf numFmtId="2" fontId="0" fillId="0" borderId="41" xfId="0" applyNumberFormat="1" applyFill="1" applyBorder="1" applyAlignment="1">
      <alignment horizontal="center"/>
    </xf>
    <xf numFmtId="2" fontId="0" fillId="0" borderId="36" xfId="0" applyNumberFormat="1" applyFill="1" applyBorder="1" applyAlignment="1">
      <alignment horizontal="center"/>
    </xf>
    <xf numFmtId="2" fontId="18" fillId="0" borderId="21" xfId="0" applyNumberFormat="1" applyFont="1" applyFill="1" applyBorder="1" applyAlignment="1">
      <alignment horizontal="center"/>
    </xf>
    <xf numFmtId="2" fontId="18" fillId="0" borderId="78" xfId="0" applyNumberFormat="1" applyFont="1" applyFill="1" applyBorder="1" applyAlignment="1"/>
    <xf numFmtId="2" fontId="18" fillId="0" borderId="79" xfId="0" applyNumberFormat="1" applyFont="1" applyFill="1" applyBorder="1" applyAlignment="1"/>
    <xf numFmtId="2" fontId="18" fillId="0" borderId="80" xfId="0" applyNumberFormat="1" applyFont="1" applyFill="1" applyBorder="1" applyAlignment="1"/>
    <xf numFmtId="2" fontId="18" fillId="0" borderId="81" xfId="0" applyNumberFormat="1" applyFont="1" applyFill="1" applyBorder="1" applyAlignment="1"/>
    <xf numFmtId="2" fontId="18" fillId="0" borderId="0" xfId="0" applyNumberFormat="1" applyFont="1" applyFill="1" applyBorder="1" applyAlignment="1"/>
    <xf numFmtId="2" fontId="18" fillId="0" borderId="50" xfId="0" applyNumberFormat="1" applyFont="1" applyFill="1" applyBorder="1" applyAlignment="1"/>
    <xf numFmtId="2" fontId="18" fillId="0" borderId="82" xfId="0" applyNumberFormat="1" applyFont="1" applyFill="1" applyBorder="1" applyAlignment="1"/>
    <xf numFmtId="2" fontId="18" fillId="0" borderId="47" xfId="0" applyNumberFormat="1" applyFont="1" applyFill="1" applyBorder="1" applyAlignment="1"/>
    <xf numFmtId="2" fontId="18" fillId="0" borderId="83" xfId="0" applyNumberFormat="1" applyFont="1" applyFill="1" applyBorder="1" applyAlignment="1"/>
    <xf numFmtId="0" fontId="9" fillId="0" borderId="3" xfId="2" applyBorder="1"/>
    <xf numFmtId="0" fontId="9" fillId="0" borderId="2" xfId="2" applyBorder="1"/>
    <xf numFmtId="0" fontId="9" fillId="0" borderId="84" xfId="2" applyBorder="1" applyAlignment="1">
      <alignment horizontal="center" wrapText="1"/>
    </xf>
    <xf numFmtId="0" fontId="9" fillId="0" borderId="4" xfId="2" applyBorder="1"/>
    <xf numFmtId="2" fontId="17" fillId="0" borderId="85" xfId="2" applyNumberFormat="1" applyFont="1" applyBorder="1" applyAlignment="1">
      <alignment horizontal="center"/>
    </xf>
    <xf numFmtId="0" fontId="9" fillId="0" borderId="6" xfId="2" applyBorder="1"/>
    <xf numFmtId="0" fontId="9" fillId="0" borderId="5" xfId="2" applyBorder="1"/>
    <xf numFmtId="0" fontId="9" fillId="0" borderId="86" xfId="2" applyBorder="1" applyAlignment="1">
      <alignment horizontal="center" vertical="center"/>
    </xf>
    <xf numFmtId="0" fontId="9" fillId="0" borderId="87" xfId="2" applyBorder="1" applyAlignment="1">
      <alignment horizontal="center" vertical="center"/>
    </xf>
    <xf numFmtId="0" fontId="9" fillId="0" borderId="72" xfId="2" applyBorder="1" applyAlignment="1">
      <alignment horizontal="center"/>
    </xf>
    <xf numFmtId="0" fontId="9" fillId="0" borderId="88" xfId="2" applyBorder="1" applyAlignment="1">
      <alignment horizontal="center"/>
    </xf>
    <xf numFmtId="2" fontId="9" fillId="0" borderId="72" xfId="2" applyNumberFormat="1" applyBorder="1" applyAlignment="1">
      <alignment horizontal="center"/>
    </xf>
    <xf numFmtId="2" fontId="9" fillId="5" borderId="88" xfId="2" applyNumberFormat="1" applyFill="1" applyBorder="1" applyAlignment="1">
      <alignment horizontal="center"/>
    </xf>
    <xf numFmtId="2" fontId="17" fillId="0" borderId="89" xfId="2" applyNumberFormat="1" applyFont="1" applyBorder="1" applyAlignment="1">
      <alignment horizontal="center"/>
    </xf>
    <xf numFmtId="0" fontId="9" fillId="0" borderId="10" xfId="2" applyBorder="1"/>
    <xf numFmtId="0" fontId="9" fillId="0" borderId="14" xfId="2" applyBorder="1"/>
    <xf numFmtId="0" fontId="9" fillId="0" borderId="90" xfId="2" applyBorder="1" applyAlignment="1">
      <alignment horizontal="center"/>
    </xf>
    <xf numFmtId="0" fontId="0" fillId="4" borderId="1" xfId="0" applyFill="1" applyBorder="1"/>
    <xf numFmtId="0" fontId="17" fillId="0" borderId="91" xfId="2" applyFont="1" applyFill="1" applyBorder="1" applyAlignment="1">
      <alignment horizontal="center" wrapText="1"/>
    </xf>
    <xf numFmtId="0" fontId="8" fillId="0" borderId="8" xfId="3" applyBorder="1"/>
    <xf numFmtId="0" fontId="7" fillId="0" borderId="4" xfId="3" applyFont="1" applyBorder="1"/>
    <xf numFmtId="0" fontId="7" fillId="0" borderId="6" xfId="3" applyFont="1" applyBorder="1"/>
    <xf numFmtId="0" fontId="8" fillId="0" borderId="9" xfId="3" applyBorder="1"/>
    <xf numFmtId="0" fontId="7" fillId="0" borderId="10" xfId="3" applyFont="1" applyBorder="1"/>
    <xf numFmtId="0" fontId="7" fillId="0" borderId="1" xfId="3" applyFont="1" applyBorder="1"/>
    <xf numFmtId="0" fontId="24" fillId="2" borderId="0" xfId="0" applyFont="1" applyFill="1" applyBorder="1"/>
    <xf numFmtId="0" fontId="7" fillId="6" borderId="1" xfId="3" applyFont="1" applyFill="1" applyBorder="1"/>
    <xf numFmtId="0" fontId="7" fillId="6" borderId="3" xfId="3" applyFont="1" applyFill="1" applyBorder="1"/>
    <xf numFmtId="0" fontId="8" fillId="6" borderId="8" xfId="3" applyFill="1" applyBorder="1"/>
    <xf numFmtId="0" fontId="6" fillId="0" borderId="0" xfId="3" applyFont="1"/>
    <xf numFmtId="0" fontId="8" fillId="0" borderId="3" xfId="3" applyBorder="1"/>
    <xf numFmtId="0" fontId="8" fillId="0" borderId="4" xfId="3" applyBorder="1"/>
    <xf numFmtId="0" fontId="8" fillId="0" borderId="7" xfId="3" applyBorder="1"/>
    <xf numFmtId="0" fontId="5" fillId="0" borderId="1" xfId="3" applyFont="1" applyBorder="1"/>
    <xf numFmtId="2" fontId="14" fillId="7" borderId="4" xfId="0" applyNumberFormat="1" applyFont="1" applyFill="1" applyBorder="1" applyAlignment="1">
      <alignment horizontal="left"/>
    </xf>
    <xf numFmtId="0" fontId="14" fillId="7" borderId="6" xfId="0" applyFont="1" applyFill="1" applyBorder="1" applyAlignment="1">
      <alignment horizontal="left"/>
    </xf>
    <xf numFmtId="0" fontId="0" fillId="2" borderId="0" xfId="0" applyFill="1" applyBorder="1" applyAlignment="1">
      <alignment vertical="center"/>
    </xf>
    <xf numFmtId="0" fontId="16" fillId="0" borderId="1" xfId="0" applyFont="1" applyBorder="1"/>
    <xf numFmtId="0" fontId="28" fillId="0" borderId="1" xfId="0" applyFont="1" applyBorder="1"/>
    <xf numFmtId="0" fontId="0" fillId="4" borderId="7" xfId="0" applyFill="1" applyBorder="1"/>
    <xf numFmtId="0" fontId="0" fillId="4" borderId="9" xfId="0" applyFill="1" applyBorder="1"/>
    <xf numFmtId="0" fontId="0" fillId="4" borderId="13" xfId="0" applyFill="1" applyBorder="1"/>
    <xf numFmtId="0" fontId="0" fillId="0" borderId="7" xfId="0" applyFill="1" applyBorder="1"/>
    <xf numFmtId="0" fontId="0" fillId="0" borderId="9" xfId="0" applyFill="1" applyBorder="1"/>
    <xf numFmtId="0" fontId="24" fillId="0" borderId="1" xfId="0" applyFont="1" applyFill="1" applyBorder="1"/>
    <xf numFmtId="0" fontId="5" fillId="0" borderId="0" xfId="3" applyFont="1"/>
    <xf numFmtId="0" fontId="17" fillId="0" borderId="1" xfId="0" applyFont="1" applyFill="1" applyBorder="1" applyAlignment="1">
      <alignment vertical="center"/>
    </xf>
    <xf numFmtId="0" fontId="24" fillId="0" borderId="10" xfId="0" applyFont="1" applyBorder="1"/>
    <xf numFmtId="0" fontId="24" fillId="0" borderId="11" xfId="0" applyFont="1" applyBorder="1"/>
    <xf numFmtId="0" fontId="0" fillId="2" borderId="1" xfId="0" applyFill="1" applyBorder="1" applyAlignment="1">
      <alignment horizontal="right"/>
    </xf>
    <xf numFmtId="0" fontId="14" fillId="2" borderId="1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164" fontId="14" fillId="2" borderId="13" xfId="0" applyNumberFormat="1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/>
    </xf>
    <xf numFmtId="165" fontId="14" fillId="5" borderId="1" xfId="0" applyNumberFormat="1" applyFont="1" applyFill="1" applyBorder="1" applyAlignment="1">
      <alignment horizontal="left"/>
    </xf>
    <xf numFmtId="0" fontId="14" fillId="5" borderId="1" xfId="0" applyFont="1" applyFill="1" applyBorder="1" applyAlignment="1">
      <alignment horizontal="left"/>
    </xf>
    <xf numFmtId="165" fontId="14" fillId="2" borderId="1" xfId="0" applyNumberFormat="1" applyFont="1" applyFill="1" applyBorder="1" applyAlignment="1">
      <alignment horizontal="left"/>
    </xf>
    <xf numFmtId="168" fontId="14" fillId="5" borderId="1" xfId="0" applyNumberFormat="1" applyFont="1" applyFill="1" applyBorder="1" applyAlignment="1">
      <alignment horizontal="left"/>
    </xf>
    <xf numFmtId="165" fontId="14" fillId="5" borderId="13" xfId="0" applyNumberFormat="1" applyFont="1" applyFill="1" applyBorder="1" applyAlignment="1">
      <alignment horizontal="left"/>
    </xf>
    <xf numFmtId="165" fontId="14" fillId="5" borderId="10" xfId="0" applyNumberFormat="1" applyFont="1" applyFill="1" applyBorder="1" applyAlignment="1">
      <alignment horizontal="left"/>
    </xf>
    <xf numFmtId="166" fontId="14" fillId="2" borderId="1" xfId="0" applyNumberFormat="1" applyFont="1" applyFill="1" applyBorder="1" applyAlignment="1">
      <alignment horizontal="left"/>
    </xf>
    <xf numFmtId="168" fontId="14" fillId="5" borderId="13" xfId="0" applyNumberFormat="1" applyFont="1" applyFill="1" applyBorder="1" applyAlignment="1">
      <alignment horizontal="left"/>
    </xf>
    <xf numFmtId="0" fontId="18" fillId="9" borderId="92" xfId="2" applyFont="1" applyFill="1" applyBorder="1" applyAlignment="1">
      <alignment wrapText="1"/>
    </xf>
    <xf numFmtId="0" fontId="9" fillId="0" borderId="1" xfId="2" applyBorder="1" applyAlignment="1">
      <alignment wrapText="1"/>
    </xf>
    <xf numFmtId="0" fontId="9" fillId="0" borderId="1" xfId="2" applyBorder="1"/>
    <xf numFmtId="2" fontId="20" fillId="13" borderId="4" xfId="0" applyNumberFormat="1" applyFont="1" applyFill="1" applyBorder="1" applyAlignment="1">
      <alignment horizontal="left"/>
    </xf>
    <xf numFmtId="0" fontId="15" fillId="9" borderId="8" xfId="4" applyFont="1" applyFill="1" applyBorder="1" applyAlignment="1">
      <alignment horizontal="center" vertical="center" wrapText="1"/>
    </xf>
    <xf numFmtId="0" fontId="18" fillId="9" borderId="3" xfId="4" applyFont="1" applyFill="1" applyBorder="1" applyAlignment="1">
      <alignment horizontal="center" textRotation="90" wrapText="1"/>
    </xf>
    <xf numFmtId="0" fontId="15" fillId="9" borderId="7" xfId="4" applyFont="1" applyFill="1" applyBorder="1" applyAlignment="1">
      <alignment horizontal="center" vertical="center" wrapText="1"/>
    </xf>
    <xf numFmtId="0" fontId="18" fillId="9" borderId="4" xfId="4" applyFont="1" applyFill="1" applyBorder="1" applyAlignment="1">
      <alignment horizontal="center" textRotation="90" wrapText="1"/>
    </xf>
    <xf numFmtId="0" fontId="15" fillId="9" borderId="106" xfId="4" applyFont="1" applyFill="1" applyBorder="1" applyAlignment="1">
      <alignment horizontal="center" textRotation="90" wrapText="1"/>
    </xf>
    <xf numFmtId="0" fontId="15" fillId="9" borderId="1" xfId="4" applyFont="1" applyFill="1" applyBorder="1" applyAlignment="1">
      <alignment horizontal="center" textRotation="90" wrapText="1"/>
    </xf>
    <xf numFmtId="0" fontId="15" fillId="9" borderId="1" xfId="4" applyFont="1" applyFill="1" applyBorder="1" applyAlignment="1">
      <alignment horizontal="center" vertical="center" textRotation="90" wrapText="1"/>
    </xf>
    <xf numFmtId="0" fontId="15" fillId="9" borderId="12" xfId="4" applyFont="1" applyFill="1" applyBorder="1" applyAlignment="1">
      <alignment horizontal="center" textRotation="90" wrapText="1"/>
    </xf>
    <xf numFmtId="0" fontId="18" fillId="9" borderId="6" xfId="4" applyFont="1" applyFill="1" applyBorder="1" applyAlignment="1">
      <alignment horizontal="center" textRotation="90" wrapText="1"/>
    </xf>
    <xf numFmtId="0" fontId="15" fillId="10" borderId="109" xfId="4" applyFont="1" applyFill="1" applyBorder="1" applyAlignment="1">
      <alignment horizontal="center"/>
    </xf>
    <xf numFmtId="0" fontId="15" fillId="9" borderId="111" xfId="4" applyFont="1" applyFill="1" applyBorder="1" applyAlignment="1">
      <alignment horizontal="center"/>
    </xf>
    <xf numFmtId="0" fontId="15" fillId="9" borderId="111" xfId="4" applyFont="1" applyFill="1" applyBorder="1" applyAlignment="1">
      <alignment horizontal="center" wrapText="1"/>
    </xf>
    <xf numFmtId="0" fontId="15" fillId="9" borderId="43" xfId="4" applyFont="1" applyFill="1" applyBorder="1" applyAlignment="1">
      <alignment horizontal="center"/>
    </xf>
    <xf numFmtId="0" fontId="15" fillId="9" borderId="44" xfId="4" applyFont="1" applyFill="1" applyBorder="1" applyAlignment="1">
      <alignment horizontal="center"/>
    </xf>
    <xf numFmtId="0" fontId="15" fillId="9" borderId="109" xfId="4" applyFont="1" applyFill="1" applyBorder="1" applyAlignment="1">
      <alignment horizontal="center" wrapText="1"/>
    </xf>
    <xf numFmtId="0" fontId="15" fillId="9" borderId="44" xfId="4" applyFont="1" applyFill="1" applyBorder="1" applyAlignment="1">
      <alignment horizontal="center" wrapText="1"/>
    </xf>
    <xf numFmtId="0" fontId="15" fillId="9" borderId="43" xfId="4" applyFont="1" applyFill="1" applyBorder="1" applyAlignment="1">
      <alignment horizontal="center" wrapText="1"/>
    </xf>
    <xf numFmtId="0" fontId="30" fillId="0" borderId="37" xfId="4" applyFont="1" applyFill="1" applyBorder="1" applyAlignment="1">
      <alignment horizontal="center"/>
    </xf>
    <xf numFmtId="0" fontId="30" fillId="3" borderId="37" xfId="4" applyFont="1" applyFill="1" applyBorder="1" applyAlignment="1">
      <alignment horizontal="center" wrapText="1"/>
    </xf>
    <xf numFmtId="0" fontId="30" fillId="3" borderId="15" xfId="4" applyFont="1" applyFill="1" applyBorder="1" applyAlignment="1">
      <alignment horizontal="center"/>
    </xf>
    <xf numFmtId="1" fontId="30" fillId="3" borderId="15" xfId="4" applyNumberFormat="1" applyFont="1" applyFill="1" applyBorder="1" applyAlignment="1">
      <alignment horizontal="center"/>
    </xf>
    <xf numFmtId="0" fontId="30" fillId="3" borderId="31" xfId="4" applyFont="1" applyFill="1" applyBorder="1" applyAlignment="1">
      <alignment horizontal="center"/>
    </xf>
    <xf numFmtId="0" fontId="30" fillId="0" borderId="15" xfId="4" applyFont="1" applyFill="1" applyBorder="1" applyAlignment="1">
      <alignment horizontal="center"/>
    </xf>
    <xf numFmtId="0" fontId="31" fillId="3" borderId="15" xfId="4" applyFont="1" applyFill="1" applyBorder="1" applyAlignment="1">
      <alignment horizontal="center"/>
    </xf>
    <xf numFmtId="0" fontId="17" fillId="0" borderId="0" xfId="4" applyFont="1" applyAlignment="1">
      <alignment horizontal="center" vertical="center"/>
    </xf>
    <xf numFmtId="0" fontId="4" fillId="14" borderId="0" xfId="4" applyFill="1" applyAlignment="1">
      <alignment horizontal="center"/>
    </xf>
    <xf numFmtId="0" fontId="3" fillId="15" borderId="0" xfId="4" applyFont="1" applyFill="1" applyAlignment="1">
      <alignment horizontal="center"/>
    </xf>
    <xf numFmtId="0" fontId="4" fillId="15" borderId="0" xfId="4" applyFill="1" applyAlignment="1">
      <alignment horizontal="center"/>
    </xf>
    <xf numFmtId="0" fontId="3" fillId="16" borderId="0" xfId="4" applyFont="1" applyFill="1" applyAlignment="1">
      <alignment horizontal="center"/>
    </xf>
    <xf numFmtId="0" fontId="4" fillId="16" borderId="0" xfId="4" applyFill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3" fillId="0" borderId="0" xfId="4" applyFont="1" applyAlignment="1">
      <alignment horizontal="center"/>
    </xf>
    <xf numFmtId="0" fontId="3" fillId="0" borderId="0" xfId="4" applyFont="1" applyAlignment="1"/>
    <xf numFmtId="0" fontId="4" fillId="0" borderId="1" xfId="4" applyBorder="1" applyAlignment="1">
      <alignment horizontal="center"/>
    </xf>
    <xf numFmtId="0" fontId="4" fillId="3" borderId="1" xfId="4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31" fillId="0" borderId="78" xfId="0" applyFont="1" applyFill="1" applyBorder="1" applyAlignment="1">
      <alignment horizontal="center"/>
    </xf>
    <xf numFmtId="0" fontId="31" fillId="0" borderId="79" xfId="0" applyFont="1" applyFill="1" applyBorder="1" applyAlignment="1">
      <alignment horizontal="center"/>
    </xf>
    <xf numFmtId="0" fontId="31" fillId="0" borderId="79" xfId="0" applyFont="1" applyFill="1" applyBorder="1" applyAlignment="1">
      <alignment horizontal="center" wrapText="1"/>
    </xf>
    <xf numFmtId="0" fontId="31" fillId="0" borderId="80" xfId="0" applyFont="1" applyFill="1" applyBorder="1" applyAlignment="1">
      <alignment horizontal="center"/>
    </xf>
    <xf numFmtId="0" fontId="31" fillId="0" borderId="81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 wrapText="1"/>
    </xf>
    <xf numFmtId="0" fontId="31" fillId="0" borderId="5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left"/>
    </xf>
    <xf numFmtId="0" fontId="31" fillId="0" borderId="82" xfId="0" applyFont="1" applyFill="1" applyBorder="1" applyAlignment="1">
      <alignment horizontal="center"/>
    </xf>
    <xf numFmtId="0" fontId="31" fillId="0" borderId="47" xfId="0" applyFont="1" applyFill="1" applyBorder="1" applyAlignment="1">
      <alignment horizontal="center"/>
    </xf>
    <xf numFmtId="0" fontId="31" fillId="0" borderId="47" xfId="0" applyFont="1" applyFill="1" applyBorder="1" applyAlignment="1">
      <alignment horizontal="center" wrapText="1"/>
    </xf>
    <xf numFmtId="0" fontId="31" fillId="0" borderId="83" xfId="0" applyFont="1" applyFill="1" applyBorder="1" applyAlignment="1">
      <alignment horizontal="center"/>
    </xf>
    <xf numFmtId="0" fontId="36" fillId="9" borderId="0" xfId="4" applyFont="1" applyFill="1" applyBorder="1" applyAlignment="1">
      <alignment vertical="center" wrapText="1"/>
    </xf>
    <xf numFmtId="0" fontId="15" fillId="9" borderId="1" xfId="4" applyFont="1" applyFill="1" applyBorder="1" applyAlignment="1">
      <alignment horizontal="left" vertical="top"/>
    </xf>
    <xf numFmtId="0" fontId="15" fillId="9" borderId="1" xfId="4" applyFont="1" applyFill="1" applyBorder="1" applyAlignment="1">
      <alignment horizontal="center"/>
    </xf>
    <xf numFmtId="0" fontId="15" fillId="9" borderId="1" xfId="4" applyFont="1" applyFill="1" applyBorder="1" applyAlignment="1">
      <alignment horizontal="center"/>
    </xf>
    <xf numFmtId="0" fontId="18" fillId="9" borderId="0" xfId="4" applyFont="1" applyFill="1" applyBorder="1" applyAlignment="1">
      <alignment horizontal="center" textRotation="90" wrapText="1"/>
    </xf>
    <xf numFmtId="0" fontId="15" fillId="17" borderId="101" xfId="4" applyFont="1" applyFill="1" applyBorder="1" applyAlignment="1">
      <alignment wrapText="1"/>
    </xf>
    <xf numFmtId="0" fontId="15" fillId="19" borderId="95" xfId="4" applyFont="1" applyFill="1" applyBorder="1" applyAlignment="1">
      <alignment vertical="center"/>
    </xf>
    <xf numFmtId="0" fontId="15" fillId="19" borderId="97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1" xfId="4" applyFont="1" applyFill="1" applyBorder="1" applyAlignment="1">
      <alignment vertical="center"/>
    </xf>
    <xf numFmtId="0" fontId="15" fillId="19" borderId="10" xfId="4" applyFont="1" applyFill="1" applyBorder="1" applyAlignment="1">
      <alignment vertical="center"/>
    </xf>
    <xf numFmtId="0" fontId="15" fillId="19" borderId="11" xfId="4" applyFont="1" applyFill="1" applyBorder="1" applyAlignment="1">
      <alignment vertical="center"/>
    </xf>
    <xf numFmtId="0" fontId="15" fillId="9" borderId="113" xfId="4" applyFont="1" applyFill="1" applyBorder="1" applyAlignment="1">
      <alignment horizontal="center" vertical="center" textRotation="90" wrapText="1"/>
    </xf>
    <xf numFmtId="0" fontId="15" fillId="9" borderId="10" xfId="4" applyFont="1" applyFill="1" applyBorder="1" applyAlignment="1">
      <alignment horizontal="center" textRotation="90" wrapText="1"/>
    </xf>
    <xf numFmtId="0" fontId="18" fillId="0" borderId="1" xfId="5" applyFont="1" applyFill="1" applyBorder="1" applyAlignment="1">
      <alignment horizontal="center" textRotation="90" wrapText="1"/>
    </xf>
    <xf numFmtId="0" fontId="4" fillId="0" borderId="27" xfId="4" applyBorder="1" applyAlignment="1">
      <alignment horizontal="center"/>
    </xf>
    <xf numFmtId="0" fontId="15" fillId="9" borderId="106" xfId="4" applyFont="1" applyFill="1" applyBorder="1" applyAlignment="1">
      <alignment horizontal="center" textRotation="90"/>
    </xf>
    <xf numFmtId="0" fontId="37" fillId="9" borderId="1" xfId="4" applyFont="1" applyFill="1" applyBorder="1" applyAlignment="1">
      <alignment horizontal="center" textRotation="90"/>
    </xf>
    <xf numFmtId="0" fontId="15" fillId="9" borderId="1" xfId="4" applyFont="1" applyFill="1" applyBorder="1" applyAlignment="1">
      <alignment horizontal="center" textRotation="90"/>
    </xf>
    <xf numFmtId="0" fontId="15" fillId="9" borderId="113" xfId="4" applyFont="1" applyFill="1" applyBorder="1" applyAlignment="1">
      <alignment horizontal="center" textRotation="90"/>
    </xf>
    <xf numFmtId="0" fontId="18" fillId="9" borderId="12" xfId="4" applyFont="1" applyFill="1" applyBorder="1" applyAlignment="1">
      <alignment horizontal="center" textRotation="90" wrapText="1"/>
    </xf>
    <xf numFmtId="0" fontId="18" fillId="9" borderId="1" xfId="4" applyFont="1" applyFill="1" applyBorder="1" applyAlignment="1">
      <alignment horizontal="center" textRotation="90" wrapText="1"/>
    </xf>
    <xf numFmtId="0" fontId="20" fillId="9" borderId="1" xfId="4" applyFont="1" applyFill="1" applyBorder="1" applyAlignment="1">
      <alignment horizontal="center" textRotation="90" wrapText="1"/>
    </xf>
    <xf numFmtId="0" fontId="15" fillId="20" borderId="43" xfId="4" applyFont="1" applyFill="1" applyBorder="1" applyAlignment="1">
      <alignment horizontal="center"/>
    </xf>
    <xf numFmtId="0" fontId="15" fillId="9" borderId="114" xfId="4" applyFont="1" applyFill="1" applyBorder="1" applyAlignment="1">
      <alignment horizontal="center"/>
    </xf>
    <xf numFmtId="0" fontId="15" fillId="20" borderId="109" xfId="4" applyFont="1" applyFill="1" applyBorder="1" applyAlignment="1">
      <alignment horizontal="center"/>
    </xf>
    <xf numFmtId="0" fontId="15" fillId="20" borderId="1" xfId="4" applyFont="1" applyFill="1" applyBorder="1" applyAlignment="1">
      <alignment horizontal="center"/>
    </xf>
    <xf numFmtId="0" fontId="15" fillId="9" borderId="115" xfId="4" applyFont="1" applyFill="1" applyBorder="1" applyAlignment="1">
      <alignment horizontal="center"/>
    </xf>
    <xf numFmtId="0" fontId="15" fillId="9" borderId="26" xfId="4" applyFont="1" applyFill="1" applyBorder="1" applyAlignment="1">
      <alignment horizontal="center"/>
    </xf>
    <xf numFmtId="0" fontId="15" fillId="20" borderId="44" xfId="4" applyFont="1" applyFill="1" applyBorder="1" applyAlignment="1">
      <alignment horizontal="center" vertical="center"/>
    </xf>
    <xf numFmtId="0" fontId="15" fillId="9" borderId="38" xfId="4" applyFont="1" applyFill="1" applyBorder="1" applyAlignment="1">
      <alignment horizontal="center"/>
    </xf>
    <xf numFmtId="0" fontId="15" fillId="20" borderId="111" xfId="4" applyFont="1" applyFill="1" applyBorder="1" applyAlignment="1">
      <alignment horizontal="center" vertical="center"/>
    </xf>
    <xf numFmtId="0" fontId="15" fillId="20" borderId="43" xfId="4" applyFont="1" applyFill="1" applyBorder="1" applyAlignment="1">
      <alignment horizontal="center" vertical="center"/>
    </xf>
    <xf numFmtId="0" fontId="15" fillId="9" borderId="1" xfId="4" applyFont="1" applyFill="1" applyBorder="1" applyAlignment="1">
      <alignment horizontal="center" wrapText="1"/>
    </xf>
    <xf numFmtId="0" fontId="30" fillId="0" borderId="31" xfId="4" applyFont="1" applyFill="1" applyBorder="1" applyAlignment="1">
      <alignment horizontal="center"/>
    </xf>
    <xf numFmtId="0" fontId="30" fillId="0" borderId="20" xfId="4" applyFont="1" applyFill="1" applyBorder="1" applyAlignment="1">
      <alignment horizontal="center"/>
    </xf>
    <xf numFmtId="0" fontId="30" fillId="0" borderId="35" xfId="4" applyFont="1" applyFill="1" applyBorder="1" applyAlignment="1">
      <alignment horizontal="center"/>
    </xf>
    <xf numFmtId="2" fontId="30" fillId="0" borderId="35" xfId="4" applyNumberFormat="1" applyFont="1" applyFill="1" applyBorder="1" applyAlignment="1">
      <alignment horizontal="center"/>
    </xf>
    <xf numFmtId="0" fontId="16" fillId="0" borderId="116" xfId="4" applyFont="1" applyFill="1" applyBorder="1" applyAlignment="1">
      <alignment horizontal="center"/>
    </xf>
    <xf numFmtId="0" fontId="30" fillId="6" borderId="35" xfId="4" applyFont="1" applyFill="1" applyBorder="1" applyAlignment="1">
      <alignment horizontal="center"/>
    </xf>
    <xf numFmtId="2" fontId="30" fillId="0" borderId="29" xfId="4" applyNumberFormat="1" applyFont="1" applyFill="1" applyBorder="1" applyAlignment="1">
      <alignment horizontal="center"/>
    </xf>
    <xf numFmtId="0" fontId="30" fillId="0" borderId="29" xfId="4" applyFont="1" applyFill="1" applyBorder="1" applyAlignment="1">
      <alignment horizontal="center"/>
    </xf>
    <xf numFmtId="2" fontId="30" fillId="0" borderId="37" xfId="4" applyNumberFormat="1" applyFont="1" applyFill="1" applyBorder="1" applyAlignment="1">
      <alignment horizontal="center"/>
    </xf>
    <xf numFmtId="2" fontId="30" fillId="0" borderId="15" xfId="4" applyNumberFormat="1" applyFont="1" applyFill="1" applyBorder="1" applyAlignment="1">
      <alignment horizontal="center"/>
    </xf>
    <xf numFmtId="0" fontId="40" fillId="0" borderId="15" xfId="4" applyFont="1" applyFill="1" applyBorder="1" applyAlignment="1">
      <alignment horizontal="center"/>
    </xf>
    <xf numFmtId="2" fontId="30" fillId="0" borderId="24" xfId="4" applyNumberFormat="1" applyFont="1" applyFill="1" applyBorder="1" applyAlignment="1">
      <alignment horizontal="center"/>
    </xf>
    <xf numFmtId="0" fontId="30" fillId="0" borderId="24" xfId="4" applyFont="1" applyFill="1" applyBorder="1" applyAlignment="1">
      <alignment horizontal="center"/>
    </xf>
    <xf numFmtId="2" fontId="33" fillId="0" borderId="24" xfId="4" applyNumberFormat="1" applyFont="1" applyBorder="1" applyAlignment="1">
      <alignment horizontal="center"/>
    </xf>
    <xf numFmtId="0" fontId="19" fillId="4" borderId="15" xfId="4" applyFont="1" applyFill="1" applyBorder="1" applyAlignment="1">
      <alignment horizontal="center"/>
    </xf>
    <xf numFmtId="0" fontId="33" fillId="0" borderId="15" xfId="4" applyFont="1" applyBorder="1" applyAlignment="1">
      <alignment horizontal="center"/>
    </xf>
    <xf numFmtId="2" fontId="33" fillId="6" borderId="24" xfId="4" applyNumberFormat="1" applyFont="1" applyFill="1" applyBorder="1" applyAlignment="1">
      <alignment horizontal="center"/>
    </xf>
    <xf numFmtId="0" fontId="33" fillId="4" borderId="15" xfId="4" applyFont="1" applyFill="1" applyBorder="1" applyAlignment="1">
      <alignment horizontal="center"/>
    </xf>
    <xf numFmtId="0" fontId="33" fillId="0" borderId="15" xfId="4" applyFont="1" applyFill="1" applyBorder="1" applyAlignment="1">
      <alignment horizontal="center"/>
    </xf>
    <xf numFmtId="0" fontId="0" fillId="3" borderId="0" xfId="0" applyFill="1"/>
    <xf numFmtId="0" fontId="35" fillId="9" borderId="58" xfId="4" applyFont="1" applyFill="1" applyBorder="1" applyAlignment="1">
      <alignment vertical="center" wrapText="1"/>
    </xf>
    <xf numFmtId="0" fontId="15" fillId="0" borderId="117" xfId="2" applyFont="1" applyFill="1" applyBorder="1" applyAlignment="1">
      <alignment horizontal="center"/>
    </xf>
    <xf numFmtId="0" fontId="15" fillId="0" borderId="118" xfId="2" applyFont="1" applyFill="1" applyBorder="1" applyAlignment="1">
      <alignment horizontal="center"/>
    </xf>
    <xf numFmtId="0" fontId="15" fillId="0" borderId="119" xfId="2" applyFont="1" applyFill="1" applyBorder="1" applyAlignment="1">
      <alignment horizontal="left" vertical="center"/>
    </xf>
    <xf numFmtId="0" fontId="15" fillId="0" borderId="120" xfId="2" applyFont="1" applyFill="1" applyBorder="1" applyAlignment="1">
      <alignment horizontal="center"/>
    </xf>
    <xf numFmtId="0" fontId="37" fillId="0" borderId="120" xfId="2" applyFont="1" applyFill="1" applyBorder="1" applyAlignment="1">
      <alignment horizontal="center"/>
    </xf>
    <xf numFmtId="0" fontId="37" fillId="0" borderId="120" xfId="2" applyFont="1" applyFill="1" applyBorder="1" applyAlignment="1"/>
    <xf numFmtId="0" fontId="15" fillId="0" borderId="1" xfId="4" applyFont="1" applyFill="1" applyBorder="1" applyAlignment="1">
      <alignment horizontal="center"/>
    </xf>
    <xf numFmtId="0" fontId="42" fillId="9" borderId="11" xfId="2" applyFont="1" applyFill="1" applyBorder="1" applyAlignment="1"/>
    <xf numFmtId="0" fontId="42" fillId="9" borderId="1" xfId="2" applyFont="1" applyFill="1" applyBorder="1" applyAlignment="1"/>
    <xf numFmtId="0" fontId="42" fillId="9" borderId="121" xfId="2" applyFont="1" applyFill="1" applyBorder="1" applyAlignment="1"/>
    <xf numFmtId="0" fontId="42" fillId="9" borderId="122" xfId="2" applyFont="1" applyFill="1" applyBorder="1" applyAlignment="1"/>
    <xf numFmtId="0" fontId="42" fillId="9" borderId="123" xfId="2" applyFont="1" applyFill="1" applyBorder="1" applyAlignment="1"/>
    <xf numFmtId="0" fontId="42" fillId="9" borderId="131" xfId="2" applyFont="1" applyFill="1" applyBorder="1" applyAlignment="1"/>
    <xf numFmtId="0" fontId="42" fillId="9" borderId="12" xfId="2" applyFont="1" applyFill="1" applyBorder="1" applyAlignment="1"/>
    <xf numFmtId="0" fontId="42" fillId="9" borderId="13" xfId="2" applyFont="1" applyFill="1" applyBorder="1" applyAlignment="1"/>
    <xf numFmtId="0" fontId="42" fillId="9" borderId="132" xfId="2" applyFont="1" applyFill="1" applyBorder="1" applyAlignment="1"/>
    <xf numFmtId="0" fontId="15" fillId="9" borderId="20" xfId="4" applyFont="1" applyFill="1" applyBorder="1" applyAlignment="1">
      <alignment horizontal="center"/>
    </xf>
    <xf numFmtId="0" fontId="42" fillId="9" borderId="21" xfId="2" applyFont="1" applyFill="1" applyBorder="1" applyAlignment="1"/>
    <xf numFmtId="0" fontId="42" fillId="9" borderId="10" xfId="2" applyFont="1" applyFill="1" applyBorder="1" applyAlignment="1"/>
    <xf numFmtId="0" fontId="42" fillId="9" borderId="6" xfId="2" applyFont="1" applyFill="1" applyBorder="1" applyAlignment="1"/>
    <xf numFmtId="0" fontId="42" fillId="9" borderId="134" xfId="2" applyFont="1" applyFill="1" applyBorder="1" applyAlignment="1"/>
    <xf numFmtId="0" fontId="24" fillId="3" borderId="137" xfId="0" applyFont="1" applyFill="1" applyBorder="1" applyAlignment="1">
      <alignment horizontal="center" textRotation="90"/>
    </xf>
    <xf numFmtId="0" fontId="42" fillId="9" borderId="138" xfId="2" applyFont="1" applyFill="1" applyBorder="1" applyAlignment="1"/>
    <xf numFmtId="0" fontId="15" fillId="9" borderId="139" xfId="4" applyFont="1" applyFill="1" applyBorder="1" applyAlignment="1">
      <alignment horizontal="left"/>
    </xf>
    <xf numFmtId="0" fontId="15" fillId="9" borderId="85" xfId="4" applyFont="1" applyFill="1" applyBorder="1" applyAlignment="1">
      <alignment horizontal="center"/>
    </xf>
    <xf numFmtId="0" fontId="15" fillId="9" borderId="34" xfId="4" applyFont="1" applyFill="1" applyBorder="1" applyAlignment="1">
      <alignment horizontal="center"/>
    </xf>
    <xf numFmtId="0" fontId="15" fillId="9" borderId="140" xfId="4" applyFont="1" applyFill="1" applyBorder="1" applyAlignment="1">
      <alignment horizontal="center"/>
    </xf>
    <xf numFmtId="0" fontId="15" fillId="9" borderId="141" xfId="4" applyFont="1" applyFill="1" applyBorder="1" applyAlignment="1">
      <alignment horizontal="center"/>
    </xf>
    <xf numFmtId="0" fontId="15" fillId="9" borderId="15" xfId="4" applyFont="1" applyFill="1" applyBorder="1" applyAlignment="1">
      <alignment horizontal="center"/>
    </xf>
    <xf numFmtId="0" fontId="42" fillId="9" borderId="26" xfId="2" applyFont="1" applyFill="1" applyBorder="1" applyAlignment="1"/>
    <xf numFmtId="0" fontId="24" fillId="3" borderId="124" xfId="0" applyFont="1" applyFill="1" applyBorder="1" applyAlignment="1">
      <alignment horizontal="center" textRotation="90"/>
    </xf>
    <xf numFmtId="0" fontId="42" fillId="9" borderId="144" xfId="2" applyFont="1" applyFill="1" applyBorder="1" applyAlignment="1"/>
    <xf numFmtId="0" fontId="15" fillId="9" borderId="139" xfId="4" applyFont="1" applyFill="1" applyBorder="1" applyAlignment="1">
      <alignment horizontal="center"/>
    </xf>
    <xf numFmtId="0" fontId="15" fillId="9" borderId="24" xfId="4" applyFont="1" applyFill="1" applyBorder="1" applyAlignment="1">
      <alignment horizontal="center"/>
    </xf>
    <xf numFmtId="0" fontId="15" fillId="9" borderId="145" xfId="4" applyFont="1" applyFill="1" applyBorder="1" applyAlignment="1">
      <alignment horizontal="center"/>
    </xf>
    <xf numFmtId="0" fontId="15" fillId="9" borderId="22" xfId="4" applyFont="1" applyFill="1" applyBorder="1" applyAlignment="1">
      <alignment horizontal="center"/>
    </xf>
    <xf numFmtId="0" fontId="15" fillId="9" borderId="146" xfId="4" applyFont="1" applyFill="1" applyBorder="1" applyAlignment="1">
      <alignment horizontal="center" wrapText="1"/>
    </xf>
    <xf numFmtId="0" fontId="42" fillId="9" borderId="13" xfId="2" applyFont="1" applyFill="1" applyBorder="1" applyAlignment="1">
      <alignment horizontal="center" wrapText="1"/>
    </xf>
    <xf numFmtId="0" fontId="42" fillId="9" borderId="3" xfId="2" applyFont="1" applyFill="1" applyBorder="1" applyAlignment="1">
      <alignment horizontal="center" wrapText="1"/>
    </xf>
    <xf numFmtId="0" fontId="42" fillId="9" borderId="147" xfId="2" applyFont="1" applyFill="1" applyBorder="1" applyAlignment="1">
      <alignment horizontal="center" wrapText="1"/>
    </xf>
    <xf numFmtId="0" fontId="42" fillId="9" borderId="148" xfId="2" applyFont="1" applyFill="1" applyBorder="1" applyAlignment="1">
      <alignment horizontal="center" wrapText="1"/>
    </xf>
    <xf numFmtId="0" fontId="42" fillId="9" borderId="149" xfId="2" applyFont="1" applyFill="1" applyBorder="1" applyAlignment="1">
      <alignment horizontal="center" wrapText="1"/>
    </xf>
    <xf numFmtId="0" fontId="42" fillId="9" borderId="30" xfId="2" applyFont="1" applyFill="1" applyBorder="1" applyAlignment="1">
      <alignment horizontal="center" wrapText="1"/>
    </xf>
    <xf numFmtId="0" fontId="42" fillId="9" borderId="150" xfId="2" applyFont="1" applyFill="1" applyBorder="1" applyAlignment="1">
      <alignment horizontal="center" wrapText="1"/>
    </xf>
    <xf numFmtId="0" fontId="42" fillId="9" borderId="151" xfId="2" applyFont="1" applyFill="1" applyBorder="1" applyAlignment="1">
      <alignment horizontal="center" wrapText="1"/>
    </xf>
    <xf numFmtId="0" fontId="42" fillId="9" borderId="152" xfId="2" applyFont="1" applyFill="1" applyBorder="1" applyAlignment="1">
      <alignment horizontal="center" wrapText="1"/>
    </xf>
    <xf numFmtId="0" fontId="0" fillId="3" borderId="133" xfId="0" applyFill="1" applyBorder="1"/>
    <xf numFmtId="0" fontId="42" fillId="9" borderId="8" xfId="2" applyFont="1" applyFill="1" applyBorder="1" applyAlignment="1">
      <alignment horizontal="center" wrapText="1"/>
    </xf>
    <xf numFmtId="0" fontId="42" fillId="9" borderId="153" xfId="2" applyFont="1" applyFill="1" applyBorder="1" applyAlignment="1"/>
    <xf numFmtId="0" fontId="15" fillId="9" borderId="146" xfId="4" applyFont="1" applyFill="1" applyBorder="1" applyAlignment="1">
      <alignment horizontal="center"/>
    </xf>
    <xf numFmtId="0" fontId="3" fillId="0" borderId="1" xfId="2" applyFont="1" applyFill="1" applyBorder="1"/>
    <xf numFmtId="0" fontId="3" fillId="0" borderId="12" xfId="2" applyFont="1" applyFill="1" applyBorder="1"/>
    <xf numFmtId="0" fontId="3" fillId="0" borderId="118" xfId="2" applyFont="1" applyFill="1" applyBorder="1"/>
    <xf numFmtId="2" fontId="3" fillId="0" borderId="12" xfId="2" applyNumberFormat="1" applyFont="1" applyFill="1" applyBorder="1"/>
    <xf numFmtId="170" fontId="3" fillId="0" borderId="12" xfId="2" applyNumberFormat="1" applyFont="1" applyFill="1" applyBorder="1"/>
    <xf numFmtId="0" fontId="3" fillId="3" borderId="12" xfId="2" applyFont="1" applyFill="1" applyBorder="1"/>
    <xf numFmtId="167" fontId="3" fillId="0" borderId="6" xfId="2" applyNumberFormat="1" applyFont="1" applyFill="1" applyBorder="1"/>
    <xf numFmtId="167" fontId="3" fillId="0" borderId="9" xfId="2" applyNumberFormat="1" applyFont="1" applyFill="1" applyBorder="1"/>
    <xf numFmtId="0" fontId="46" fillId="8" borderId="1" xfId="8" applyFont="1" applyFill="1" applyBorder="1" applyAlignment="1">
      <alignment horizontal="center" wrapText="1"/>
    </xf>
    <xf numFmtId="43" fontId="3" fillId="0" borderId="1" xfId="2" applyNumberFormat="1" applyFont="1" applyFill="1" applyBorder="1"/>
    <xf numFmtId="0" fontId="33" fillId="0" borderId="15" xfId="4" applyFont="1" applyBorder="1" applyAlignment="1">
      <alignment horizontal="center" vertical="center"/>
    </xf>
    <xf numFmtId="167" fontId="19" fillId="0" borderId="15" xfId="4" applyNumberFormat="1" applyFont="1" applyBorder="1" applyAlignment="1">
      <alignment horizontal="center"/>
    </xf>
    <xf numFmtId="167" fontId="33" fillId="0" borderId="15" xfId="4" applyNumberFormat="1" applyFont="1" applyBorder="1" applyAlignment="1">
      <alignment horizontal="center"/>
    </xf>
    <xf numFmtId="167" fontId="33" fillId="0" borderId="145" xfId="4" applyNumberFormat="1" applyFont="1" applyBorder="1" applyAlignment="1">
      <alignment horizontal="center"/>
    </xf>
    <xf numFmtId="0" fontId="33" fillId="0" borderId="20" xfId="4" applyFont="1" applyBorder="1" applyAlignment="1">
      <alignment horizontal="center"/>
    </xf>
    <xf numFmtId="0" fontId="33" fillId="0" borderId="24" xfId="4" applyFont="1" applyBorder="1" applyAlignment="1">
      <alignment horizontal="center"/>
    </xf>
    <xf numFmtId="0" fontId="35" fillId="9" borderId="58" xfId="4" applyFont="1" applyFill="1" applyBorder="1" applyAlignment="1"/>
    <xf numFmtId="0" fontId="35" fillId="9" borderId="62" xfId="4" applyFont="1" applyFill="1" applyBorder="1" applyAlignment="1"/>
    <xf numFmtId="0" fontId="36" fillId="9" borderId="4" xfId="4" applyFont="1" applyFill="1" applyBorder="1" applyAlignment="1">
      <alignment vertical="center" wrapText="1"/>
    </xf>
    <xf numFmtId="2" fontId="30" fillId="22" borderId="34" xfId="4" applyNumberFormat="1" applyFont="1" applyFill="1" applyBorder="1" applyAlignment="1">
      <alignment horizontal="center"/>
    </xf>
    <xf numFmtId="0" fontId="33" fillId="22" borderId="15" xfId="4" applyFont="1" applyFill="1" applyBorder="1" applyAlignment="1">
      <alignment horizontal="center"/>
    </xf>
    <xf numFmtId="0" fontId="30" fillId="22" borderId="33" xfId="4" applyFont="1" applyFill="1" applyBorder="1" applyAlignment="1">
      <alignment horizontal="center"/>
    </xf>
    <xf numFmtId="0" fontId="35" fillId="9" borderId="112" xfId="4" applyFont="1" applyFill="1" applyBorder="1" applyAlignment="1">
      <alignment vertical="center" wrapText="1"/>
    </xf>
    <xf numFmtId="0" fontId="15" fillId="9" borderId="154" xfId="4" applyFont="1" applyFill="1" applyBorder="1" applyAlignment="1">
      <alignment horizontal="center"/>
    </xf>
    <xf numFmtId="0" fontId="33" fillId="0" borderId="145" xfId="4" applyFont="1" applyBorder="1" applyAlignment="1">
      <alignment horizontal="center"/>
    </xf>
    <xf numFmtId="0" fontId="30" fillId="0" borderId="15" xfId="4" applyNumberFormat="1" applyFont="1" applyFill="1" applyBorder="1" applyAlignment="1">
      <alignment horizontal="center"/>
    </xf>
    <xf numFmtId="0" fontId="31" fillId="0" borderId="37" xfId="4" applyFont="1" applyFill="1" applyBorder="1" applyAlignment="1">
      <alignment horizontal="center"/>
    </xf>
    <xf numFmtId="0" fontId="32" fillId="0" borderId="37" xfId="4" applyFont="1" applyFill="1" applyBorder="1" applyAlignment="1">
      <alignment horizontal="center"/>
    </xf>
    <xf numFmtId="167" fontId="31" fillId="0" borderId="37" xfId="4" applyNumberFormat="1" applyFont="1" applyFill="1" applyBorder="1" applyAlignment="1">
      <alignment horizontal="center"/>
    </xf>
    <xf numFmtId="167" fontId="30" fillId="0" borderId="37" xfId="4" applyNumberFormat="1" applyFont="1" applyFill="1" applyBorder="1" applyAlignment="1">
      <alignment horizontal="center"/>
    </xf>
    <xf numFmtId="167" fontId="30" fillId="0" borderId="15" xfId="4" applyNumberFormat="1" applyFont="1" applyFill="1" applyBorder="1" applyAlignment="1">
      <alignment horizontal="center"/>
    </xf>
    <xf numFmtId="2" fontId="30" fillId="0" borderId="34" xfId="4" applyNumberFormat="1" applyFont="1" applyFill="1" applyBorder="1" applyAlignment="1">
      <alignment horizontal="center"/>
    </xf>
    <xf numFmtId="169" fontId="30" fillId="0" borderId="37" xfId="4" applyNumberFormat="1" applyFont="1" applyFill="1" applyBorder="1" applyAlignment="1">
      <alignment horizontal="center"/>
    </xf>
    <xf numFmtId="0" fontId="4" fillId="23" borderId="1" xfId="4" applyFill="1" applyBorder="1" applyAlignment="1">
      <alignment horizontal="center"/>
    </xf>
    <xf numFmtId="0" fontId="30" fillId="23" borderId="37" xfId="4" applyFont="1" applyFill="1" applyBorder="1" applyAlignment="1">
      <alignment horizontal="center" wrapText="1"/>
    </xf>
    <xf numFmtId="0" fontId="30" fillId="23" borderId="31" xfId="4" applyFont="1" applyFill="1" applyBorder="1" applyAlignment="1">
      <alignment horizontal="center"/>
    </xf>
    <xf numFmtId="164" fontId="18" fillId="23" borderId="1" xfId="4" applyNumberFormat="1" applyFont="1" applyFill="1" applyBorder="1" applyAlignment="1">
      <alignment horizontal="center" vertical="center" wrapText="1"/>
    </xf>
    <xf numFmtId="0" fontId="30" fillId="23" borderId="22" xfId="4" applyFont="1" applyFill="1" applyBorder="1" applyAlignment="1">
      <alignment horizontal="center"/>
    </xf>
    <xf numFmtId="2" fontId="17" fillId="0" borderId="61" xfId="0" applyNumberFormat="1" applyFont="1" applyBorder="1" applyAlignment="1">
      <alignment horizontal="center" vertical="center"/>
    </xf>
    <xf numFmtId="2" fontId="0" fillId="0" borderId="61" xfId="0" applyNumberFormat="1" applyBorder="1" applyAlignment="1">
      <alignment horizontal="center"/>
    </xf>
    <xf numFmtId="2" fontId="17" fillId="0" borderId="112" xfId="0" applyNumberFormat="1" applyFont="1" applyBorder="1" applyAlignment="1">
      <alignment horizontal="center" vertical="center"/>
    </xf>
    <xf numFmtId="0" fontId="31" fillId="0" borderId="38" xfId="4" applyFont="1" applyFill="1" applyBorder="1" applyAlignment="1">
      <alignment horizontal="center"/>
    </xf>
    <xf numFmtId="0" fontId="30" fillId="0" borderId="30" xfId="4" applyFont="1" applyFill="1" applyBorder="1" applyAlignment="1">
      <alignment horizontal="center"/>
    </xf>
    <xf numFmtId="165" fontId="14" fillId="2" borderId="10" xfId="0" applyNumberFormat="1" applyFont="1" applyFill="1" applyBorder="1" applyAlignment="1">
      <alignment horizontal="left"/>
    </xf>
    <xf numFmtId="0" fontId="47" fillId="0" borderId="1" xfId="9" applyFont="1" applyFill="1" applyBorder="1"/>
    <xf numFmtId="0" fontId="2" fillId="0" borderId="0" xfId="9" applyFill="1"/>
    <xf numFmtId="0" fontId="47" fillId="0" borderId="0" xfId="9" applyFont="1" applyFill="1"/>
    <xf numFmtId="0" fontId="17" fillId="0" borderId="1" xfId="9" applyFont="1" applyFill="1" applyBorder="1"/>
    <xf numFmtId="0" fontId="2" fillId="0" borderId="1" xfId="9" applyFill="1" applyBorder="1"/>
    <xf numFmtId="0" fontId="48" fillId="0" borderId="1" xfId="9" applyFont="1" applyFill="1" applyBorder="1"/>
    <xf numFmtId="0" fontId="16" fillId="0" borderId="0" xfId="9" applyFont="1" applyFill="1"/>
    <xf numFmtId="167" fontId="2" fillId="0" borderId="1" xfId="9" applyNumberFormat="1" applyFill="1" applyBorder="1"/>
    <xf numFmtId="0" fontId="0" fillId="0" borderId="0" xfId="0" applyFill="1"/>
    <xf numFmtId="0" fontId="0" fillId="0" borderId="1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16" fillId="0" borderId="15" xfId="4" applyFont="1" applyBorder="1" applyAlignment="1">
      <alignment horizontal="center" vertical="center"/>
    </xf>
    <xf numFmtId="167" fontId="16" fillId="0" borderId="15" xfId="4" applyNumberFormat="1" applyFont="1" applyBorder="1" applyAlignment="1">
      <alignment horizontal="center"/>
    </xf>
    <xf numFmtId="167" fontId="16" fillId="0" borderId="145" xfId="4" applyNumberFormat="1" applyFont="1" applyBorder="1" applyAlignment="1">
      <alignment horizontal="center"/>
    </xf>
    <xf numFmtId="0" fontId="16" fillId="4" borderId="15" xfId="4" applyFont="1" applyFill="1" applyBorder="1" applyAlignment="1">
      <alignment horizontal="center"/>
    </xf>
    <xf numFmtId="0" fontId="16" fillId="0" borderId="15" xfId="4" applyFont="1" applyBorder="1" applyAlignment="1">
      <alignment horizontal="center"/>
    </xf>
    <xf numFmtId="2" fontId="16" fillId="6" borderId="24" xfId="4" applyNumberFormat="1" applyFont="1" applyFill="1" applyBorder="1" applyAlignment="1">
      <alignment horizontal="center"/>
    </xf>
    <xf numFmtId="2" fontId="16" fillId="0" borderId="24" xfId="4" applyNumberFormat="1" applyFont="1" applyBorder="1" applyAlignment="1">
      <alignment horizontal="center"/>
    </xf>
    <xf numFmtId="0" fontId="16" fillId="0" borderId="15" xfId="4" applyFont="1" applyFill="1" applyBorder="1" applyAlignment="1">
      <alignment horizontal="center"/>
    </xf>
    <xf numFmtId="0" fontId="1" fillId="0" borderId="1" xfId="9" applyFont="1" applyFill="1" applyBorder="1"/>
    <xf numFmtId="0" fontId="19" fillId="0" borderId="11" xfId="9" applyFont="1" applyFill="1" applyBorder="1"/>
    <xf numFmtId="169" fontId="30" fillId="0" borderId="0" xfId="4" applyNumberFormat="1" applyFont="1" applyFill="1" applyBorder="1" applyAlignment="1">
      <alignment horizontal="center"/>
    </xf>
    <xf numFmtId="164" fontId="18" fillId="23" borderId="0" xfId="4" applyNumberFormat="1" applyFont="1" applyFill="1" applyBorder="1" applyAlignment="1">
      <alignment horizontal="center" vertical="center" wrapText="1"/>
    </xf>
    <xf numFmtId="0" fontId="30" fillId="23" borderId="0" xfId="4" applyFont="1" applyFill="1" applyBorder="1" applyAlignment="1">
      <alignment horizontal="center"/>
    </xf>
    <xf numFmtId="0" fontId="30" fillId="0" borderId="0" xfId="4" applyFont="1" applyFill="1" applyBorder="1" applyAlignment="1">
      <alignment horizontal="center"/>
    </xf>
    <xf numFmtId="0" fontId="30" fillId="3" borderId="0" xfId="4" applyFont="1" applyFill="1" applyBorder="1" applyAlignment="1">
      <alignment horizontal="center" wrapText="1"/>
    </xf>
    <xf numFmtId="0" fontId="30" fillId="3" borderId="0" xfId="4" applyFont="1" applyFill="1" applyBorder="1" applyAlignment="1">
      <alignment horizontal="center"/>
    </xf>
    <xf numFmtId="1" fontId="30" fillId="3" borderId="0" xfId="4" applyNumberFormat="1" applyFont="1" applyFill="1" applyBorder="1" applyAlignment="1">
      <alignment horizontal="center"/>
    </xf>
    <xf numFmtId="0" fontId="30" fillId="23" borderId="0" xfId="4" applyFont="1" applyFill="1" applyBorder="1" applyAlignment="1">
      <alignment horizontal="center" wrapText="1"/>
    </xf>
    <xf numFmtId="0" fontId="30" fillId="0" borderId="0" xfId="4" applyNumberFormat="1" applyFont="1" applyFill="1" applyBorder="1" applyAlignment="1">
      <alignment horizontal="center"/>
    </xf>
    <xf numFmtId="0" fontId="31" fillId="0" borderId="0" xfId="4" applyFont="1" applyFill="1" applyBorder="1" applyAlignment="1">
      <alignment horizontal="center"/>
    </xf>
    <xf numFmtId="0" fontId="32" fillId="0" borderId="0" xfId="4" applyFont="1" applyFill="1" applyBorder="1" applyAlignment="1">
      <alignment horizontal="center"/>
    </xf>
    <xf numFmtId="167" fontId="31" fillId="0" borderId="0" xfId="4" applyNumberFormat="1" applyFont="1" applyFill="1" applyBorder="1" applyAlignment="1">
      <alignment horizontal="center"/>
    </xf>
    <xf numFmtId="167" fontId="30" fillId="0" borderId="0" xfId="4" applyNumberFormat="1" applyFont="1" applyFill="1" applyBorder="1" applyAlignment="1">
      <alignment horizontal="center"/>
    </xf>
    <xf numFmtId="0" fontId="31" fillId="3" borderId="0" xfId="4" applyFont="1" applyFill="1" applyBorder="1" applyAlignment="1">
      <alignment horizontal="center"/>
    </xf>
    <xf numFmtId="2" fontId="30" fillId="0" borderId="0" xfId="4" applyNumberFormat="1" applyFont="1" applyFill="1" applyBorder="1" applyAlignment="1">
      <alignment horizontal="center"/>
    </xf>
    <xf numFmtId="2" fontId="30" fillId="22" borderId="0" xfId="4" applyNumberFormat="1" applyFont="1" applyFill="1" applyBorder="1" applyAlignment="1">
      <alignment horizontal="center"/>
    </xf>
    <xf numFmtId="0" fontId="33" fillId="22" borderId="0" xfId="4" applyFont="1" applyFill="1" applyBorder="1" applyAlignment="1">
      <alignment horizontal="center"/>
    </xf>
    <xf numFmtId="0" fontId="30" fillId="22" borderId="0" xfId="4" applyFont="1" applyFill="1" applyBorder="1" applyAlignment="1">
      <alignment horizontal="center"/>
    </xf>
    <xf numFmtId="0" fontId="16" fillId="0" borderId="0" xfId="4" applyFont="1" applyFill="1" applyBorder="1" applyAlignment="1">
      <alignment horizontal="center"/>
    </xf>
    <xf numFmtId="0" fontId="30" fillId="6" borderId="0" xfId="4" applyFont="1" applyFill="1" applyBorder="1" applyAlignment="1">
      <alignment horizontal="center"/>
    </xf>
    <xf numFmtId="0" fontId="40" fillId="0" borderId="0" xfId="4" applyFont="1" applyFill="1" applyBorder="1" applyAlignment="1">
      <alignment horizontal="center"/>
    </xf>
    <xf numFmtId="2" fontId="33" fillId="0" borderId="0" xfId="4" applyNumberFormat="1" applyFont="1" applyBorder="1" applyAlignment="1">
      <alignment horizontal="center"/>
    </xf>
    <xf numFmtId="0" fontId="19" fillId="4" borderId="0" xfId="4" applyFont="1" applyFill="1" applyBorder="1" applyAlignment="1">
      <alignment horizontal="center"/>
    </xf>
    <xf numFmtId="0" fontId="33" fillId="0" borderId="0" xfId="4" applyFont="1" applyBorder="1" applyAlignment="1">
      <alignment horizontal="center"/>
    </xf>
    <xf numFmtId="2" fontId="33" fillId="6" borderId="0" xfId="4" applyNumberFormat="1" applyFont="1" applyFill="1" applyBorder="1" applyAlignment="1">
      <alignment horizontal="center"/>
    </xf>
    <xf numFmtId="0" fontId="33" fillId="4" borderId="0" xfId="4" applyFont="1" applyFill="1" applyBorder="1" applyAlignment="1">
      <alignment horizontal="center"/>
    </xf>
    <xf numFmtId="0" fontId="33" fillId="0" borderId="0" xfId="4" applyFont="1" applyFill="1" applyBorder="1" applyAlignment="1">
      <alignment horizontal="center"/>
    </xf>
    <xf numFmtId="0" fontId="3" fillId="0" borderId="0" xfId="2" applyFont="1" applyFill="1" applyBorder="1"/>
    <xf numFmtId="2" fontId="3" fillId="0" borderId="0" xfId="2" applyNumberFormat="1" applyFont="1" applyFill="1" applyBorder="1"/>
    <xf numFmtId="170" fontId="3" fillId="0" borderId="0" xfId="2" applyNumberFormat="1" applyFont="1" applyFill="1" applyBorder="1"/>
    <xf numFmtId="0" fontId="3" fillId="3" borderId="0" xfId="2" applyFont="1" applyFill="1" applyBorder="1"/>
    <xf numFmtId="167" fontId="3" fillId="0" borderId="0" xfId="2" applyNumberFormat="1" applyFont="1" applyFill="1" applyBorder="1"/>
    <xf numFmtId="0" fontId="46" fillId="8" borderId="0" xfId="8" applyFont="1" applyFill="1" applyBorder="1" applyAlignment="1">
      <alignment horizontal="center" wrapText="1"/>
    </xf>
    <xf numFmtId="43" fontId="3" fillId="0" borderId="0" xfId="2" applyNumberFormat="1" applyFont="1" applyFill="1" applyBorder="1"/>
    <xf numFmtId="0" fontId="0" fillId="3" borderId="0" xfId="0" applyFill="1" applyBorder="1"/>
    <xf numFmtId="0" fontId="33" fillId="0" borderId="0" xfId="4" applyFont="1" applyBorder="1" applyAlignment="1">
      <alignment horizontal="center" vertical="center"/>
    </xf>
    <xf numFmtId="167" fontId="19" fillId="0" borderId="0" xfId="4" applyNumberFormat="1" applyFont="1" applyBorder="1" applyAlignment="1">
      <alignment horizontal="center"/>
    </xf>
    <xf numFmtId="167" fontId="33" fillId="0" borderId="0" xfId="4" applyNumberFormat="1" applyFont="1" applyBorder="1" applyAlignment="1">
      <alignment horizontal="center"/>
    </xf>
    <xf numFmtId="0" fontId="16" fillId="4" borderId="0" xfId="4" applyFont="1" applyFill="1" applyBorder="1" applyAlignment="1">
      <alignment horizontal="center"/>
    </xf>
    <xf numFmtId="0" fontId="16" fillId="0" borderId="0" xfId="4" applyFont="1" applyBorder="1" applyAlignment="1">
      <alignment horizontal="center"/>
    </xf>
    <xf numFmtId="2" fontId="16" fillId="6" borderId="0" xfId="4" applyNumberFormat="1" applyFont="1" applyFill="1" applyBorder="1" applyAlignment="1">
      <alignment horizontal="center"/>
    </xf>
    <xf numFmtId="2" fontId="16" fillId="0" borderId="0" xfId="4" applyNumberFormat="1" applyFont="1" applyBorder="1" applyAlignment="1">
      <alignment horizontal="center"/>
    </xf>
    <xf numFmtId="0" fontId="16" fillId="0" borderId="0" xfId="4" applyFont="1" applyBorder="1" applyAlignment="1">
      <alignment horizontal="center" vertical="center"/>
    </xf>
    <xf numFmtId="167" fontId="16" fillId="0" borderId="0" xfId="4" applyNumberFormat="1" applyFont="1" applyBorder="1" applyAlignment="1">
      <alignment horizontal="center"/>
    </xf>
    <xf numFmtId="0" fontId="0" fillId="2" borderId="25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1" fillId="0" borderId="0" xfId="3" applyFont="1"/>
    <xf numFmtId="0" fontId="1" fillId="0" borderId="1" xfId="3" applyFont="1" applyBorder="1"/>
    <xf numFmtId="0" fontId="50" fillId="0" borderId="1" xfId="3" applyFont="1" applyBorder="1"/>
    <xf numFmtId="0" fontId="1" fillId="0" borderId="0" xfId="9" applyFont="1" applyFill="1"/>
    <xf numFmtId="0" fontId="2" fillId="0" borderId="0" xfId="9" applyFill="1" applyBorder="1"/>
    <xf numFmtId="0" fontId="1" fillId="0" borderId="0" xfId="9" applyFont="1" applyFill="1" applyBorder="1"/>
    <xf numFmtId="0" fontId="19" fillId="0" borderId="11" xfId="9" applyFont="1" applyFill="1" applyBorder="1" applyAlignment="1"/>
    <xf numFmtId="164" fontId="18" fillId="0" borderId="1" xfId="0" applyNumberFormat="1" applyFont="1" applyFill="1" applyBorder="1"/>
    <xf numFmtId="164" fontId="52" fillId="0" borderId="1" xfId="0" applyNumberFormat="1" applyFont="1" applyFill="1" applyBorder="1"/>
    <xf numFmtId="164" fontId="51" fillId="0" borderId="1" xfId="0" applyNumberFormat="1" applyFont="1" applyFill="1" applyBorder="1"/>
    <xf numFmtId="164" fontId="53" fillId="0" borderId="1" xfId="0" applyNumberFormat="1" applyFont="1" applyFill="1" applyBorder="1"/>
    <xf numFmtId="164" fontId="54" fillId="0" borderId="1" xfId="0" applyNumberFormat="1" applyFont="1" applyFill="1" applyBorder="1"/>
    <xf numFmtId="0" fontId="2" fillId="4" borderId="1" xfId="9" applyFill="1" applyBorder="1"/>
    <xf numFmtId="0" fontId="0" fillId="3" borderId="1" xfId="0" applyFill="1" applyBorder="1" applyAlignment="1">
      <alignment horizontal="center"/>
    </xf>
    <xf numFmtId="0" fontId="21" fillId="2" borderId="52" xfId="0" applyFont="1" applyFill="1" applyBorder="1" applyAlignment="1">
      <alignment horizontal="center"/>
    </xf>
    <xf numFmtId="0" fontId="21" fillId="2" borderId="54" xfId="0" applyFont="1" applyFill="1" applyBorder="1" applyAlignment="1">
      <alignment horizontal="center"/>
    </xf>
    <xf numFmtId="0" fontId="21" fillId="2" borderId="53" xfId="0" applyFont="1" applyFill="1" applyBorder="1" applyAlignment="1">
      <alignment horizontal="center"/>
    </xf>
    <xf numFmtId="0" fontId="21" fillId="2" borderId="48" xfId="0" applyFont="1" applyFill="1" applyBorder="1" applyAlignment="1">
      <alignment horizontal="center"/>
    </xf>
    <xf numFmtId="0" fontId="21" fillId="2" borderId="49" xfId="0" applyFont="1" applyFill="1" applyBorder="1" applyAlignment="1">
      <alignment horizontal="center"/>
    </xf>
    <xf numFmtId="0" fontId="21" fillId="2" borderId="5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1" fillId="2" borderId="55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56" xfId="0" applyFont="1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27" fillId="0" borderId="1" xfId="0" applyFont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58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57" xfId="0" applyFill="1" applyBorder="1" applyAlignment="1">
      <alignment horizontal="center" wrapText="1"/>
    </xf>
    <xf numFmtId="0" fontId="0" fillId="6" borderId="58" xfId="0" applyFill="1" applyBorder="1" applyAlignment="1">
      <alignment horizontal="center" wrapText="1"/>
    </xf>
    <xf numFmtId="0" fontId="24" fillId="3" borderId="155" xfId="0" applyFont="1" applyFill="1" applyBorder="1" applyAlignment="1">
      <alignment horizontal="center" textRotation="90"/>
    </xf>
    <xf numFmtId="0" fontId="24" fillId="3" borderId="124" xfId="0" applyFont="1" applyFill="1" applyBorder="1" applyAlignment="1">
      <alignment horizontal="center" textRotation="90"/>
    </xf>
    <xf numFmtId="2" fontId="17" fillId="0" borderId="10" xfId="0" applyNumberFormat="1" applyFont="1" applyBorder="1" applyAlignment="1">
      <alignment horizontal="center" vertical="center"/>
    </xf>
    <xf numFmtId="2" fontId="17" fillId="0" borderId="11" xfId="0" applyNumberFormat="1" applyFont="1" applyBorder="1" applyAlignment="1">
      <alignment horizontal="center" vertical="center"/>
    </xf>
    <xf numFmtId="0" fontId="15" fillId="0" borderId="1" xfId="4" applyFont="1" applyFill="1" applyBorder="1" applyAlignment="1">
      <alignment horizontal="center"/>
    </xf>
    <xf numFmtId="0" fontId="37" fillId="9" borderId="133" xfId="4" applyFont="1" applyFill="1" applyBorder="1" applyAlignment="1">
      <alignment horizontal="center"/>
    </xf>
    <xf numFmtId="0" fontId="37" fillId="9" borderId="1" xfId="4" applyFont="1" applyFill="1" applyBorder="1" applyAlignment="1">
      <alignment horizontal="center"/>
    </xf>
    <xf numFmtId="0" fontId="44" fillId="9" borderId="1" xfId="2" applyFont="1" applyFill="1" applyBorder="1" applyAlignment="1">
      <alignment horizontal="center"/>
    </xf>
    <xf numFmtId="0" fontId="44" fillId="9" borderId="13" xfId="2" applyFont="1" applyFill="1" applyBorder="1" applyAlignment="1">
      <alignment horizontal="center"/>
    </xf>
    <xf numFmtId="0" fontId="43" fillId="9" borderId="12" xfId="2" applyFont="1" applyFill="1" applyBorder="1" applyAlignment="1">
      <alignment horizontal="center" wrapText="1"/>
    </xf>
    <xf numFmtId="0" fontId="15" fillId="9" borderId="10" xfId="4" applyFont="1" applyFill="1" applyBorder="1" applyAlignment="1">
      <alignment horizontal="center"/>
    </xf>
    <xf numFmtId="0" fontId="15" fillId="9" borderId="14" xfId="4" applyFont="1" applyFill="1" applyBorder="1" applyAlignment="1">
      <alignment horizontal="center"/>
    </xf>
    <xf numFmtId="0" fontId="15" fillId="9" borderId="11" xfId="4" applyFont="1" applyFill="1" applyBorder="1" applyAlignment="1">
      <alignment horizontal="center"/>
    </xf>
    <xf numFmtId="0" fontId="15" fillId="9" borderId="1" xfId="4" applyFont="1" applyFill="1" applyBorder="1" applyAlignment="1">
      <alignment horizontal="center"/>
    </xf>
    <xf numFmtId="0" fontId="37" fillId="9" borderId="10" xfId="4" applyFont="1" applyFill="1" applyBorder="1" applyAlignment="1">
      <alignment horizontal="center"/>
    </xf>
    <xf numFmtId="0" fontId="37" fillId="9" borderId="14" xfId="4" applyFont="1" applyFill="1" applyBorder="1" applyAlignment="1">
      <alignment horizontal="center"/>
    </xf>
    <xf numFmtId="0" fontId="37" fillId="9" borderId="11" xfId="4" applyFont="1" applyFill="1" applyBorder="1" applyAlignment="1">
      <alignment horizontal="center"/>
    </xf>
    <xf numFmtId="0" fontId="18" fillId="9" borderId="13" xfId="4" applyFont="1" applyFill="1" applyBorder="1" applyAlignment="1">
      <alignment horizontal="center" textRotation="90" wrapText="1"/>
    </xf>
    <xf numFmtId="0" fontId="18" fillId="9" borderId="25" xfId="4" applyFont="1" applyFill="1" applyBorder="1" applyAlignment="1">
      <alignment horizontal="center" textRotation="90" wrapText="1"/>
    </xf>
    <xf numFmtId="0" fontId="18" fillId="9" borderId="12" xfId="4" applyFont="1" applyFill="1" applyBorder="1" applyAlignment="1">
      <alignment horizontal="center" textRotation="90" wrapText="1"/>
    </xf>
    <xf numFmtId="0" fontId="20" fillId="9" borderId="1" xfId="4" applyFont="1" applyFill="1" applyBorder="1" applyAlignment="1">
      <alignment horizontal="center" wrapText="1"/>
    </xf>
    <xf numFmtId="0" fontId="29" fillId="9" borderId="57" xfId="4" applyFont="1" applyFill="1" applyBorder="1" applyAlignment="1">
      <alignment horizontal="center" wrapText="1"/>
    </xf>
    <xf numFmtId="0" fontId="29" fillId="9" borderId="58" xfId="4" applyFont="1" applyFill="1" applyBorder="1" applyAlignment="1">
      <alignment horizontal="center" wrapText="1"/>
    </xf>
    <xf numFmtId="0" fontId="29" fillId="9" borderId="59" xfId="4" applyFont="1" applyFill="1" applyBorder="1" applyAlignment="1">
      <alignment horizontal="center" wrapText="1"/>
    </xf>
    <xf numFmtId="0" fontId="18" fillId="10" borderId="93" xfId="4" applyFont="1" applyFill="1" applyBorder="1" applyAlignment="1">
      <alignment horizontal="center" textRotation="90" wrapText="1"/>
    </xf>
    <xf numFmtId="0" fontId="18" fillId="10" borderId="98" xfId="4" applyFont="1" applyFill="1" applyBorder="1" applyAlignment="1">
      <alignment horizontal="center" textRotation="90" wrapText="1"/>
    </xf>
    <xf numFmtId="0" fontId="18" fillId="10" borderId="108" xfId="4" applyFont="1" applyFill="1" applyBorder="1" applyAlignment="1">
      <alignment horizontal="center" textRotation="90" wrapText="1"/>
    </xf>
    <xf numFmtId="0" fontId="18" fillId="10" borderId="94" xfId="4" applyFont="1" applyFill="1" applyBorder="1" applyAlignment="1">
      <alignment horizontal="center" textRotation="90" wrapText="1"/>
    </xf>
    <xf numFmtId="0" fontId="18" fillId="10" borderId="99" xfId="4" applyFont="1" applyFill="1" applyBorder="1" applyAlignment="1">
      <alignment horizontal="center" textRotation="90" wrapText="1"/>
    </xf>
    <xf numFmtId="0" fontId="18" fillId="10" borderId="105" xfId="4" applyFont="1" applyFill="1" applyBorder="1" applyAlignment="1">
      <alignment horizontal="center" textRotation="90" wrapText="1"/>
    </xf>
    <xf numFmtId="0" fontId="18" fillId="9" borderId="93" xfId="4" applyFont="1" applyFill="1" applyBorder="1" applyAlignment="1">
      <alignment horizontal="center" textRotation="90" wrapText="1"/>
    </xf>
    <xf numFmtId="0" fontId="18" fillId="9" borderId="98" xfId="4" applyFont="1" applyFill="1" applyBorder="1" applyAlignment="1">
      <alignment horizontal="center" textRotation="90" wrapText="1"/>
    </xf>
    <xf numFmtId="0" fontId="18" fillId="9" borderId="108" xfId="4" applyFont="1" applyFill="1" applyBorder="1" applyAlignment="1">
      <alignment horizontal="center" textRotation="90" wrapText="1"/>
    </xf>
    <xf numFmtId="0" fontId="18" fillId="9" borderId="94" xfId="4" applyFont="1" applyFill="1" applyBorder="1" applyAlignment="1">
      <alignment horizontal="center" textRotation="90" wrapText="1"/>
    </xf>
    <xf numFmtId="0" fontId="18" fillId="9" borderId="99" xfId="4" applyFont="1" applyFill="1" applyBorder="1" applyAlignment="1">
      <alignment horizontal="center" textRotation="90" wrapText="1"/>
    </xf>
    <xf numFmtId="0" fontId="18" fillId="9" borderId="110" xfId="4" applyFont="1" applyFill="1" applyBorder="1" applyAlignment="1">
      <alignment horizontal="center" textRotation="90" wrapText="1"/>
    </xf>
    <xf numFmtId="0" fontId="18" fillId="9" borderId="78" xfId="4" applyFont="1" applyFill="1" applyBorder="1" applyAlignment="1">
      <alignment horizontal="center" vertical="center" wrapText="1"/>
    </xf>
    <xf numFmtId="0" fontId="18" fillId="9" borderId="79" xfId="4" applyFont="1" applyFill="1" applyBorder="1" applyAlignment="1">
      <alignment horizontal="center" vertical="center" wrapText="1"/>
    </xf>
    <xf numFmtId="0" fontId="18" fillId="9" borderId="80" xfId="4" applyFont="1" applyFill="1" applyBorder="1" applyAlignment="1">
      <alignment horizontal="center" vertical="center" wrapText="1"/>
    </xf>
    <xf numFmtId="0" fontId="18" fillId="9" borderId="100" xfId="4" applyFont="1" applyFill="1" applyBorder="1" applyAlignment="1">
      <alignment horizontal="center" vertical="center" wrapText="1"/>
    </xf>
    <xf numFmtId="0" fontId="18" fillId="9" borderId="5" xfId="4" applyFont="1" applyFill="1" applyBorder="1" applyAlignment="1">
      <alignment horizontal="center" vertical="center" wrapText="1"/>
    </xf>
    <xf numFmtId="0" fontId="18" fillId="9" borderId="101" xfId="4" applyFont="1" applyFill="1" applyBorder="1" applyAlignment="1">
      <alignment horizontal="center" vertical="center" wrapText="1"/>
    </xf>
    <xf numFmtId="0" fontId="15" fillId="9" borderId="95" xfId="4" applyFont="1" applyFill="1" applyBorder="1" applyAlignment="1">
      <alignment horizontal="center"/>
    </xf>
    <xf numFmtId="0" fontId="15" fillId="9" borderId="96" xfId="4" applyFont="1" applyFill="1" applyBorder="1" applyAlignment="1">
      <alignment horizontal="center"/>
    </xf>
    <xf numFmtId="0" fontId="15" fillId="9" borderId="97" xfId="4" applyFont="1" applyFill="1" applyBorder="1" applyAlignment="1">
      <alignment horizontal="center"/>
    </xf>
    <xf numFmtId="0" fontId="18" fillId="9" borderId="103" xfId="4" applyFont="1" applyFill="1" applyBorder="1" applyAlignment="1">
      <alignment horizontal="center" textRotation="90" wrapText="1"/>
    </xf>
    <xf numFmtId="0" fontId="18" fillId="9" borderId="3" xfId="4" applyFont="1" applyFill="1" applyBorder="1" applyAlignment="1">
      <alignment horizontal="center" textRotation="90" wrapText="1"/>
    </xf>
    <xf numFmtId="0" fontId="18" fillId="9" borderId="104" xfId="4" applyFont="1" applyFill="1" applyBorder="1" applyAlignment="1">
      <alignment horizontal="center" textRotation="90" wrapText="1"/>
    </xf>
    <xf numFmtId="0" fontId="18" fillId="9" borderId="6" xfId="4" applyFont="1" applyFill="1" applyBorder="1" applyAlignment="1">
      <alignment horizontal="center" textRotation="90" wrapText="1"/>
    </xf>
    <xf numFmtId="0" fontId="18" fillId="9" borderId="101" xfId="4" applyFont="1" applyFill="1" applyBorder="1" applyAlignment="1">
      <alignment horizontal="center" textRotation="90" wrapText="1"/>
    </xf>
    <xf numFmtId="0" fontId="18" fillId="9" borderId="102" xfId="4" applyFont="1" applyFill="1" applyBorder="1" applyAlignment="1">
      <alignment horizontal="center" textRotation="90" wrapText="1"/>
    </xf>
    <xf numFmtId="0" fontId="18" fillId="9" borderId="8" xfId="4" applyFont="1" applyFill="1" applyBorder="1" applyAlignment="1">
      <alignment horizontal="center" textRotation="90" wrapText="1"/>
    </xf>
    <xf numFmtId="0" fontId="18" fillId="9" borderId="100" xfId="4" applyFont="1" applyFill="1" applyBorder="1" applyAlignment="1">
      <alignment horizontal="center" textRotation="90" wrapText="1"/>
    </xf>
    <xf numFmtId="0" fontId="18" fillId="9" borderId="9" xfId="4" applyFont="1" applyFill="1" applyBorder="1" applyAlignment="1">
      <alignment horizontal="center" textRotation="90" wrapText="1"/>
    </xf>
    <xf numFmtId="0" fontId="18" fillId="9" borderId="2" xfId="4" applyFont="1" applyFill="1" applyBorder="1" applyAlignment="1">
      <alignment horizontal="center" textRotation="90" wrapText="1"/>
    </xf>
    <xf numFmtId="0" fontId="18" fillId="9" borderId="5" xfId="4" applyFont="1" applyFill="1" applyBorder="1" applyAlignment="1">
      <alignment horizontal="center" textRotation="90" wrapText="1"/>
    </xf>
    <xf numFmtId="0" fontId="18" fillId="9" borderId="92" xfId="4" applyFont="1" applyFill="1" applyBorder="1" applyAlignment="1">
      <alignment horizontal="center" textRotation="90" wrapText="1"/>
    </xf>
    <xf numFmtId="0" fontId="18" fillId="9" borderId="105" xfId="4" applyFont="1" applyFill="1" applyBorder="1" applyAlignment="1">
      <alignment horizontal="center" textRotation="90" wrapText="1"/>
    </xf>
    <xf numFmtId="0" fontId="36" fillId="9" borderId="1" xfId="4" applyFont="1" applyFill="1" applyBorder="1" applyAlignment="1">
      <alignment horizontal="center" vertical="center" wrapText="1"/>
    </xf>
    <xf numFmtId="0" fontId="29" fillId="9" borderId="95" xfId="4" applyFont="1" applyFill="1" applyBorder="1" applyAlignment="1">
      <alignment horizontal="center" wrapText="1"/>
    </xf>
    <xf numFmtId="0" fontId="29" fillId="9" borderId="96" xfId="4" applyFont="1" applyFill="1" applyBorder="1" applyAlignment="1">
      <alignment horizontal="center" wrapText="1"/>
    </xf>
    <xf numFmtId="0" fontId="29" fillId="9" borderId="97" xfId="4" applyFont="1" applyFill="1" applyBorder="1" applyAlignment="1">
      <alignment horizontal="center" wrapText="1"/>
    </xf>
    <xf numFmtId="0" fontId="18" fillId="18" borderId="1" xfId="4" applyFont="1" applyFill="1" applyBorder="1" applyAlignment="1">
      <alignment horizontal="center" wrapText="1"/>
    </xf>
    <xf numFmtId="0" fontId="18" fillId="9" borderId="1" xfId="4" applyFont="1" applyFill="1" applyBorder="1" applyAlignment="1">
      <alignment horizontal="center" wrapText="1"/>
    </xf>
    <xf numFmtId="0" fontId="15" fillId="9" borderId="10" xfId="4" applyFont="1" applyFill="1" applyBorder="1" applyAlignment="1">
      <alignment horizontal="center" vertical="center" wrapText="1"/>
    </xf>
    <xf numFmtId="0" fontId="15" fillId="9" borderId="14" xfId="4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horizontal="center" vertical="center" wrapText="1"/>
    </xf>
    <xf numFmtId="0" fontId="18" fillId="9" borderId="107" xfId="4" applyFont="1" applyFill="1" applyBorder="1" applyAlignment="1">
      <alignment horizontal="center" textRotation="90" wrapText="1"/>
    </xf>
    <xf numFmtId="0" fontId="20" fillId="9" borderId="13" xfId="4" applyFont="1" applyFill="1" applyBorder="1" applyAlignment="1">
      <alignment horizontal="center" textRotation="90" wrapText="1"/>
    </xf>
    <xf numFmtId="0" fontId="20" fillId="9" borderId="25" xfId="4" applyFont="1" applyFill="1" applyBorder="1" applyAlignment="1">
      <alignment horizontal="center" textRotation="90" wrapText="1"/>
    </xf>
    <xf numFmtId="0" fontId="20" fillId="9" borderId="12" xfId="4" applyFont="1" applyFill="1" applyBorder="1" applyAlignment="1">
      <alignment horizontal="center" textRotation="90" wrapText="1"/>
    </xf>
    <xf numFmtId="0" fontId="15" fillId="17" borderId="81" xfId="4" applyFont="1" applyFill="1" applyBorder="1" applyAlignment="1">
      <alignment horizontal="center" wrapText="1"/>
    </xf>
    <xf numFmtId="0" fontId="15" fillId="17" borderId="0" xfId="4" applyFont="1" applyFill="1" applyBorder="1" applyAlignment="1">
      <alignment horizontal="center" wrapText="1"/>
    </xf>
    <xf numFmtId="0" fontId="15" fillId="18" borderId="100" xfId="4" applyFont="1" applyFill="1" applyBorder="1" applyAlignment="1">
      <alignment horizontal="center" wrapText="1"/>
    </xf>
    <xf numFmtId="0" fontId="15" fillId="18" borderId="101" xfId="4" applyFont="1" applyFill="1" applyBorder="1" applyAlignment="1">
      <alignment horizontal="center" wrapText="1"/>
    </xf>
    <xf numFmtId="0" fontId="15" fillId="18" borderId="5" xfId="4" applyFont="1" applyFill="1" applyBorder="1" applyAlignment="1">
      <alignment horizontal="center" wrapText="1"/>
    </xf>
    <xf numFmtId="0" fontId="15" fillId="0" borderId="81" xfId="4" applyFont="1" applyFill="1" applyBorder="1" applyAlignment="1">
      <alignment horizontal="center"/>
    </xf>
    <xf numFmtId="0" fontId="15" fillId="0" borderId="0" xfId="4" applyFont="1" applyFill="1" applyBorder="1" applyAlignment="1">
      <alignment horizontal="center"/>
    </xf>
    <xf numFmtId="0" fontId="15" fillId="0" borderId="50" xfId="4" applyFont="1" applyFill="1" applyBorder="1" applyAlignment="1">
      <alignment horizontal="center"/>
    </xf>
    <xf numFmtId="0" fontId="41" fillId="21" borderId="1" xfId="2" applyFont="1" applyFill="1" applyBorder="1" applyAlignment="1">
      <alignment horizontal="center" wrapText="1"/>
    </xf>
    <xf numFmtId="0" fontId="43" fillId="9" borderId="25" xfId="2" applyFont="1" applyFill="1" applyBorder="1" applyAlignment="1">
      <alignment horizontal="center" textRotation="90" wrapText="1"/>
    </xf>
    <xf numFmtId="0" fontId="43" fillId="9" borderId="12" xfId="2" applyFont="1" applyFill="1" applyBorder="1" applyAlignment="1">
      <alignment horizontal="center" textRotation="90" wrapText="1"/>
    </xf>
    <xf numFmtId="0" fontId="43" fillId="9" borderId="4" xfId="2" applyFont="1" applyFill="1" applyBorder="1" applyAlignment="1">
      <alignment horizontal="center" textRotation="90" wrapText="1"/>
    </xf>
    <xf numFmtId="0" fontId="43" fillId="9" borderId="6" xfId="2" applyFont="1" applyFill="1" applyBorder="1" applyAlignment="1">
      <alignment horizontal="center" textRotation="90" wrapText="1"/>
    </xf>
    <xf numFmtId="0" fontId="43" fillId="9" borderId="124" xfId="2" applyFont="1" applyFill="1" applyBorder="1" applyAlignment="1">
      <alignment horizontal="center" wrapText="1"/>
    </xf>
    <xf numFmtId="0" fontId="43" fillId="9" borderId="125" xfId="2" applyFont="1" applyFill="1" applyBorder="1" applyAlignment="1">
      <alignment horizontal="center" wrapText="1"/>
    </xf>
    <xf numFmtId="0" fontId="43" fillId="9" borderId="133" xfId="2" applyFont="1" applyFill="1" applyBorder="1" applyAlignment="1">
      <alignment horizontal="center" wrapText="1"/>
    </xf>
    <xf numFmtId="0" fontId="43" fillId="9" borderId="134" xfId="2" applyFont="1" applyFill="1" applyBorder="1" applyAlignment="1">
      <alignment horizontal="center" wrapText="1"/>
    </xf>
    <xf numFmtId="0" fontId="43" fillId="9" borderId="0" xfId="2" applyFont="1" applyFill="1" applyBorder="1" applyAlignment="1">
      <alignment horizontal="center" wrapText="1"/>
    </xf>
    <xf numFmtId="0" fontId="43" fillId="9" borderId="126" xfId="2" applyFont="1" applyFill="1" applyBorder="1" applyAlignment="1">
      <alignment horizontal="center" wrapText="1"/>
    </xf>
    <xf numFmtId="0" fontId="43" fillId="9" borderId="35" xfId="2" applyFont="1" applyFill="1" applyBorder="1" applyAlignment="1">
      <alignment horizontal="center" wrapText="1"/>
    </xf>
    <xf numFmtId="0" fontId="43" fillId="9" borderId="142" xfId="2" applyFont="1" applyFill="1" applyBorder="1" applyAlignment="1">
      <alignment horizontal="center" wrapText="1"/>
    </xf>
    <xf numFmtId="0" fontId="42" fillId="9" borderId="127" xfId="2" applyFont="1" applyFill="1" applyBorder="1" applyAlignment="1">
      <alignment horizontal="center"/>
    </xf>
    <xf numFmtId="0" fontId="42" fillId="9" borderId="128" xfId="2" applyFont="1" applyFill="1" applyBorder="1" applyAlignment="1">
      <alignment horizontal="center"/>
    </xf>
    <xf numFmtId="0" fontId="42" fillId="9" borderId="129" xfId="2" applyFont="1" applyFill="1" applyBorder="1" applyAlignment="1">
      <alignment horizontal="center"/>
    </xf>
    <xf numFmtId="0" fontId="42" fillId="9" borderId="130" xfId="2" applyFont="1" applyFill="1" applyBorder="1" applyAlignment="1">
      <alignment horizontal="center"/>
    </xf>
    <xf numFmtId="0" fontId="43" fillId="9" borderId="135" xfId="2" applyFont="1" applyFill="1" applyBorder="1" applyAlignment="1">
      <alignment horizontal="center" wrapText="1"/>
    </xf>
    <xf numFmtId="0" fontId="43" fillId="9" borderId="24" xfId="2" applyFont="1" applyFill="1" applyBorder="1" applyAlignment="1">
      <alignment horizontal="center" wrapText="1"/>
    </xf>
    <xf numFmtId="0" fontId="42" fillId="9" borderId="24" xfId="2" applyFont="1" applyFill="1" applyBorder="1" applyAlignment="1">
      <alignment horizontal="center" wrapText="1"/>
    </xf>
    <xf numFmtId="0" fontId="42" fillId="9" borderId="136" xfId="2" applyFont="1" applyFill="1" applyBorder="1" applyAlignment="1">
      <alignment horizontal="center"/>
    </xf>
    <xf numFmtId="0" fontId="42" fillId="9" borderId="15" xfId="2" applyFont="1" applyFill="1" applyBorder="1" applyAlignment="1">
      <alignment horizontal="center"/>
    </xf>
    <xf numFmtId="0" fontId="42" fillId="9" borderId="143" xfId="2" applyFont="1" applyFill="1" applyBorder="1" applyAlignment="1">
      <alignment horizontal="center"/>
    </xf>
    <xf numFmtId="0" fontId="24" fillId="3" borderId="137" xfId="0" applyFont="1" applyFill="1" applyBorder="1" applyAlignment="1">
      <alignment horizontal="center" textRotation="90"/>
    </xf>
    <xf numFmtId="0" fontId="42" fillId="7" borderId="12" xfId="2" applyFont="1" applyFill="1" applyBorder="1" applyAlignment="1">
      <alignment horizontal="center" vertical="center" wrapText="1"/>
    </xf>
    <xf numFmtId="0" fontId="42" fillId="7" borderId="1" xfId="2" applyFont="1" applyFill="1" applyBorder="1" applyAlignment="1">
      <alignment horizontal="center" vertical="center" wrapText="1"/>
    </xf>
    <xf numFmtId="0" fontId="43" fillId="9" borderId="19" xfId="2" applyFont="1" applyFill="1" applyBorder="1" applyAlignment="1">
      <alignment horizontal="center" wrapText="1"/>
    </xf>
    <xf numFmtId="0" fontId="43" fillId="9" borderId="15" xfId="2" applyFont="1" applyFill="1" applyBorder="1" applyAlignment="1">
      <alignment horizontal="center" wrapText="1"/>
    </xf>
    <xf numFmtId="0" fontId="42" fillId="9" borderId="15" xfId="2" applyFont="1" applyFill="1" applyBorder="1" applyAlignment="1">
      <alignment horizontal="center" wrapText="1"/>
    </xf>
    <xf numFmtId="0" fontId="42" fillId="9" borderId="151" xfId="2" applyFont="1" applyFill="1" applyBorder="1" applyAlignment="1">
      <alignment horizontal="center" wrapText="1"/>
    </xf>
    <xf numFmtId="0" fontId="45" fillId="9" borderId="11" xfId="2" applyFont="1" applyFill="1" applyBorder="1" applyAlignment="1">
      <alignment horizontal="center"/>
    </xf>
    <xf numFmtId="0" fontId="45" fillId="9" borderId="1" xfId="2" applyFont="1" applyFill="1" applyBorder="1" applyAlignment="1">
      <alignment horizontal="center"/>
    </xf>
    <xf numFmtId="0" fontId="45" fillId="9" borderId="12" xfId="2" applyFont="1" applyFill="1" applyBorder="1" applyAlignment="1">
      <alignment horizontal="center"/>
    </xf>
    <xf numFmtId="0" fontId="45" fillId="9" borderId="134" xfId="2" applyFont="1" applyFill="1" applyBorder="1" applyAlignment="1">
      <alignment horizontal="center"/>
    </xf>
    <xf numFmtId="0" fontId="1" fillId="6" borderId="1" xfId="3" applyFont="1" applyFill="1" applyBorder="1" applyAlignment="1">
      <alignment horizontal="center"/>
    </xf>
    <xf numFmtId="0" fontId="5" fillId="6" borderId="1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0">
    <cellStyle name="Normal" xfId="0" builtinId="0"/>
    <cellStyle name="Normal 2" xfId="1"/>
    <cellStyle name="Normal 2 2" xfId="5"/>
    <cellStyle name="Normal 3" xfId="2"/>
    <cellStyle name="Normal 4" xfId="3"/>
    <cellStyle name="Normal 4 2" xfId="6"/>
    <cellStyle name="Normal 4 3" xfId="7"/>
    <cellStyle name="Normal 5" xfId="4"/>
    <cellStyle name="Normal 6" xfId="9"/>
    <cellStyle name="Normal_Sheet3" xf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16" fmlaLink="$C$5" max="30000" page="10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0</xdr:rowOff>
        </xdr:from>
        <xdr:to>
          <xdr:col>3</xdr:col>
          <xdr:colOff>304800</xdr:colOff>
          <xdr:row>3</xdr:row>
          <xdr:rowOff>95250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28575</xdr:rowOff>
        </xdr:from>
        <xdr:to>
          <xdr:col>5</xdr:col>
          <xdr:colOff>142875</xdr:colOff>
          <xdr:row>3</xdr:row>
          <xdr:rowOff>57150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119342</xdr:colOff>
      <xdr:row>0</xdr:row>
      <xdr:rowOff>95251</xdr:rowOff>
    </xdr:from>
    <xdr:to>
      <xdr:col>1</xdr:col>
      <xdr:colOff>519392</xdr:colOff>
      <xdr:row>2</xdr:row>
      <xdr:rowOff>19051</xdr:rowOff>
    </xdr:to>
    <xdr:sp macro="[0]!move_up" textlink="">
      <xdr:nvSpPr>
        <xdr:cNvPr id="4" name="Isosceles Triangle 3"/>
        <xdr:cNvSpPr/>
      </xdr:nvSpPr>
      <xdr:spPr>
        <a:xfrm>
          <a:off x="903754" y="95251"/>
          <a:ext cx="400050" cy="304800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119340</xdr:colOff>
      <xdr:row>2</xdr:row>
      <xdr:rowOff>123825</xdr:rowOff>
    </xdr:from>
    <xdr:to>
      <xdr:col>1</xdr:col>
      <xdr:colOff>528916</xdr:colOff>
      <xdr:row>4</xdr:row>
      <xdr:rowOff>57149</xdr:rowOff>
    </xdr:to>
    <xdr:sp macro="[0]!move_down" textlink="">
      <xdr:nvSpPr>
        <xdr:cNvPr id="5" name="Isosceles Triangle 4"/>
        <xdr:cNvSpPr/>
      </xdr:nvSpPr>
      <xdr:spPr>
        <a:xfrm rot="10800000">
          <a:off x="903752" y="504825"/>
          <a:ext cx="409576" cy="314324"/>
        </a:xfrm>
        <a:prstGeom prst="triangl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142875</xdr:rowOff>
        </xdr:from>
        <xdr:to>
          <xdr:col>6</xdr:col>
          <xdr:colOff>66675</xdr:colOff>
          <xdr:row>5</xdr:row>
          <xdr:rowOff>28575</xdr:rowOff>
        </xdr:to>
        <xdr:sp macro="" textlink="">
          <xdr:nvSpPr>
            <xdr:cNvPr id="84999" name="Button 7" hidden="1">
              <a:extLst>
                <a:ext uri="{63B3BB69-23CF-44E3-9099-C40C66FF867C}">
                  <a14:compatExt spid="_x0000_s84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3</xdr:row>
          <xdr:rowOff>142875</xdr:rowOff>
        </xdr:from>
        <xdr:to>
          <xdr:col>8</xdr:col>
          <xdr:colOff>85725</xdr:colOff>
          <xdr:row>5</xdr:row>
          <xdr:rowOff>0</xdr:rowOff>
        </xdr:to>
        <xdr:sp macro="" textlink="">
          <xdr:nvSpPr>
            <xdr:cNvPr id="85000" name="Button 8" hidden="1">
              <a:extLst>
                <a:ext uri="{63B3BB69-23CF-44E3-9099-C40C66FF867C}">
                  <a14:compatExt spid="_x0000_s85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Go_2_Slab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5</xdr:row>
          <xdr:rowOff>114300</xdr:rowOff>
        </xdr:from>
        <xdr:to>
          <xdr:col>6</xdr:col>
          <xdr:colOff>466725</xdr:colOff>
          <xdr:row>6</xdr:row>
          <xdr:rowOff>180975</xdr:rowOff>
        </xdr:to>
        <xdr:sp macro="" textlink="">
          <xdr:nvSpPr>
            <xdr:cNvPr id="85001" name="Button 9" hidden="1">
              <a:extLst>
                <a:ext uri="{63B3BB69-23CF-44E3-9099-C40C66FF867C}">
                  <a14:compatExt spid="_x0000_s85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180975</xdr:rowOff>
        </xdr:from>
        <xdr:to>
          <xdr:col>7</xdr:col>
          <xdr:colOff>190500</xdr:colOff>
          <xdr:row>3</xdr:row>
          <xdr:rowOff>19050</xdr:rowOff>
        </xdr:to>
        <xdr:sp macro="" textlink="">
          <xdr:nvSpPr>
            <xdr:cNvPr id="85004" name="Button 12" hidden="1">
              <a:extLst>
                <a:ext uri="{63B3BB69-23CF-44E3-9099-C40C66FF867C}">
                  <a14:compatExt spid="_x0000_s85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7</xdr:row>
          <xdr:rowOff>95250</xdr:rowOff>
        </xdr:from>
        <xdr:to>
          <xdr:col>6</xdr:col>
          <xdr:colOff>457200</xdr:colOff>
          <xdr:row>8</xdr:row>
          <xdr:rowOff>161925</xdr:rowOff>
        </xdr:to>
        <xdr:sp macro="" textlink="">
          <xdr:nvSpPr>
            <xdr:cNvPr id="85007" name="Button 15" hidden="1">
              <a:extLst>
                <a:ext uri="{63B3BB69-23CF-44E3-9099-C40C66FF867C}">
                  <a14:compatExt spid="_x0000_s85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4</xdr:row>
          <xdr:rowOff>9525</xdr:rowOff>
        </xdr:from>
        <xdr:to>
          <xdr:col>3</xdr:col>
          <xdr:colOff>590550</xdr:colOff>
          <xdr:row>7</xdr:row>
          <xdr:rowOff>76200</xdr:rowOff>
        </xdr:to>
        <xdr:sp macro="" textlink="">
          <xdr:nvSpPr>
            <xdr:cNvPr id="85010" name="Spinner 18" hidden="1">
              <a:extLst>
                <a:ext uri="{63B3BB69-23CF-44E3-9099-C40C66FF867C}">
                  <a14:compatExt spid="_x0000_s85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3</xdr:row>
          <xdr:rowOff>19050</xdr:rowOff>
        </xdr:from>
        <xdr:to>
          <xdr:col>8</xdr:col>
          <xdr:colOff>190500</xdr:colOff>
          <xdr:row>5</xdr:row>
          <xdr:rowOff>133350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Grid_&amp;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</xdr:row>
          <xdr:rowOff>152400</xdr:rowOff>
        </xdr:from>
        <xdr:to>
          <xdr:col>3</xdr:col>
          <xdr:colOff>590550</xdr:colOff>
          <xdr:row>5</xdr:row>
          <xdr:rowOff>95250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Adjust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442925</xdr:colOff>
      <xdr:row>3</xdr:row>
      <xdr:rowOff>64291</xdr:rowOff>
    </xdr:from>
    <xdr:to>
      <xdr:col>2</xdr:col>
      <xdr:colOff>357200</xdr:colOff>
      <xdr:row>5</xdr:row>
      <xdr:rowOff>73816</xdr:rowOff>
    </xdr:to>
    <xdr:sp macro="" textlink="">
      <xdr:nvSpPr>
        <xdr:cNvPr id="2" name="Right Arrow 1"/>
        <xdr:cNvSpPr/>
      </xdr:nvSpPr>
      <xdr:spPr>
        <a:xfrm>
          <a:off x="1026331" y="600072"/>
          <a:ext cx="521494" cy="342900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28575</xdr:rowOff>
        </xdr:from>
        <xdr:to>
          <xdr:col>1</xdr:col>
          <xdr:colOff>371475</xdr:colOff>
          <xdr:row>5</xdr:row>
          <xdr:rowOff>142875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Draw_pipe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614375</xdr:colOff>
      <xdr:row>3</xdr:row>
      <xdr:rowOff>73816</xdr:rowOff>
    </xdr:from>
    <xdr:to>
      <xdr:col>4</xdr:col>
      <xdr:colOff>564368</xdr:colOff>
      <xdr:row>5</xdr:row>
      <xdr:rowOff>83341</xdr:rowOff>
    </xdr:to>
    <xdr:sp macro="" textlink="">
      <xdr:nvSpPr>
        <xdr:cNvPr id="6" name="Right Arrow 5"/>
        <xdr:cNvSpPr/>
      </xdr:nvSpPr>
      <xdr:spPr>
        <a:xfrm>
          <a:off x="2412219" y="609597"/>
          <a:ext cx="652462" cy="342900"/>
        </a:xfrm>
        <a:prstGeom prst="rightArrow">
          <a:avLst/>
        </a:prstGeom>
        <a:ln>
          <a:solidFill>
            <a:schemeClr val="bg1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733437</xdr:colOff>
      <xdr:row>3</xdr:row>
      <xdr:rowOff>73816</xdr:rowOff>
    </xdr:from>
    <xdr:to>
      <xdr:col>6</xdr:col>
      <xdr:colOff>578656</xdr:colOff>
      <xdr:row>5</xdr:row>
      <xdr:rowOff>83341</xdr:rowOff>
    </xdr:to>
    <xdr:sp macro="" textlink="">
      <xdr:nvSpPr>
        <xdr:cNvPr id="7" name="Right Arrow 6"/>
        <xdr:cNvSpPr/>
      </xdr:nvSpPr>
      <xdr:spPr>
        <a:xfrm>
          <a:off x="3971937" y="609597"/>
          <a:ext cx="619125" cy="342900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28575</xdr:rowOff>
        </xdr:from>
        <xdr:to>
          <xdr:col>5</xdr:col>
          <xdr:colOff>676275</xdr:colOff>
          <xdr:row>5</xdr:row>
          <xdr:rowOff>142875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Excav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Backfill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252984</xdr:colOff>
      <xdr:row>3</xdr:row>
      <xdr:rowOff>118639</xdr:rowOff>
    </xdr:from>
    <xdr:to>
      <xdr:col>9</xdr:col>
      <xdr:colOff>171743</xdr:colOff>
      <xdr:row>5</xdr:row>
      <xdr:rowOff>128164</xdr:rowOff>
    </xdr:to>
    <xdr:sp macro="" textlink="">
      <xdr:nvSpPr>
        <xdr:cNvPr id="9" name="Right Arrow 8"/>
        <xdr:cNvSpPr/>
      </xdr:nvSpPr>
      <xdr:spPr>
        <a:xfrm>
          <a:off x="5610797" y="654420"/>
          <a:ext cx="525977" cy="342900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38100</xdr:rowOff>
        </xdr:from>
        <xdr:to>
          <xdr:col>10</xdr:col>
          <xdr:colOff>476250</xdr:colOff>
          <xdr:row>5</xdr:row>
          <xdr:rowOff>180975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add_QTY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570742</xdr:colOff>
      <xdr:row>4</xdr:row>
      <xdr:rowOff>98538</xdr:rowOff>
    </xdr:from>
    <xdr:to>
      <xdr:col>11</xdr:col>
      <xdr:colOff>306424</xdr:colOff>
      <xdr:row>7</xdr:row>
      <xdr:rowOff>100640</xdr:rowOff>
    </xdr:to>
    <xdr:sp macro="" textlink="">
      <xdr:nvSpPr>
        <xdr:cNvPr id="11" name="Right Arrow 10"/>
        <xdr:cNvSpPr/>
      </xdr:nvSpPr>
      <xdr:spPr>
        <a:xfrm rot="4725406">
          <a:off x="7051454" y="892545"/>
          <a:ext cx="525977" cy="342901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7</xdr:row>
          <xdr:rowOff>114300</xdr:rowOff>
        </xdr:from>
        <xdr:to>
          <xdr:col>12</xdr:col>
          <xdr:colOff>190500</xdr:colOff>
          <xdr:row>10</xdr:row>
          <xdr:rowOff>85725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clear_QTY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0</xdr:row>
          <xdr:rowOff>57150</xdr:rowOff>
        </xdr:from>
        <xdr:to>
          <xdr:col>5</xdr:col>
          <xdr:colOff>438150</xdr:colOff>
          <xdr:row>2</xdr:row>
          <xdr:rowOff>57150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Go_2_Draw_sheet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35719</xdr:colOff>
      <xdr:row>8</xdr:row>
      <xdr:rowOff>0</xdr:rowOff>
    </xdr:from>
    <xdr:to>
      <xdr:col>0</xdr:col>
      <xdr:colOff>547687</xdr:colOff>
      <xdr:row>10</xdr:row>
      <xdr:rowOff>142875</xdr:rowOff>
    </xdr:to>
    <xdr:sp macro="[0]!Sta" textlink="">
      <xdr:nvSpPr>
        <xdr:cNvPr id="14" name="Isosceles Triangle 13"/>
        <xdr:cNvSpPr/>
      </xdr:nvSpPr>
      <xdr:spPr>
        <a:xfrm>
          <a:off x="35719" y="1393031"/>
          <a:ext cx="511968" cy="476250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23811</xdr:colOff>
      <xdr:row>11</xdr:row>
      <xdr:rowOff>95250</xdr:rowOff>
    </xdr:from>
    <xdr:to>
      <xdr:col>0</xdr:col>
      <xdr:colOff>559593</xdr:colOff>
      <xdr:row>14</xdr:row>
      <xdr:rowOff>59531</xdr:rowOff>
    </xdr:to>
    <xdr:sp macro="[0]!Sta" textlink="">
      <xdr:nvSpPr>
        <xdr:cNvPr id="15" name="Isosceles Triangle 14"/>
        <xdr:cNvSpPr/>
      </xdr:nvSpPr>
      <xdr:spPr>
        <a:xfrm rot="10800000">
          <a:off x="23811" y="1988344"/>
          <a:ext cx="535782" cy="464343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3</xdr:row>
          <xdr:rowOff>19050</xdr:rowOff>
        </xdr:from>
        <xdr:to>
          <xdr:col>12</xdr:col>
          <xdr:colOff>571500</xdr:colOff>
          <xdr:row>6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</xdr:row>
          <xdr:rowOff>57150</xdr:rowOff>
        </xdr:from>
        <xdr:to>
          <xdr:col>8</xdr:col>
          <xdr:colOff>495300</xdr:colOff>
          <xdr:row>6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Grid_&amp;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19050</xdr:rowOff>
        </xdr:from>
        <xdr:to>
          <xdr:col>1</xdr:col>
          <xdr:colOff>561975</xdr:colOff>
          <xdr:row>5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Adjust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71436</xdr:colOff>
      <xdr:row>3</xdr:row>
      <xdr:rowOff>76200</xdr:rowOff>
    </xdr:from>
    <xdr:to>
      <xdr:col>2</xdr:col>
      <xdr:colOff>600075</xdr:colOff>
      <xdr:row>5</xdr:row>
      <xdr:rowOff>95250</xdr:rowOff>
    </xdr:to>
    <xdr:sp macro="" textlink="">
      <xdr:nvSpPr>
        <xdr:cNvPr id="4" name="Right Arrow 3"/>
        <xdr:cNvSpPr/>
      </xdr:nvSpPr>
      <xdr:spPr>
        <a:xfrm>
          <a:off x="1285874" y="576263"/>
          <a:ext cx="528639" cy="352425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28575</xdr:rowOff>
        </xdr:from>
        <xdr:to>
          <xdr:col>4</xdr:col>
          <xdr:colOff>123825</xdr:colOff>
          <xdr:row>5</xdr:row>
          <xdr:rowOff>152400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Draw_SC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164306</xdr:colOff>
      <xdr:row>3</xdr:row>
      <xdr:rowOff>85725</xdr:rowOff>
    </xdr:from>
    <xdr:to>
      <xdr:col>5</xdr:col>
      <xdr:colOff>78581</xdr:colOff>
      <xdr:row>5</xdr:row>
      <xdr:rowOff>104775</xdr:rowOff>
    </xdr:to>
    <xdr:sp macro="" textlink="">
      <xdr:nvSpPr>
        <xdr:cNvPr id="6" name="Right Arrow 5"/>
        <xdr:cNvSpPr/>
      </xdr:nvSpPr>
      <xdr:spPr>
        <a:xfrm>
          <a:off x="2688431" y="585788"/>
          <a:ext cx="711994" cy="352425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361950</xdr:colOff>
      <xdr:row>3</xdr:row>
      <xdr:rowOff>85725</xdr:rowOff>
    </xdr:from>
    <xdr:to>
      <xdr:col>7</xdr:col>
      <xdr:colOff>276225</xdr:colOff>
      <xdr:row>5</xdr:row>
      <xdr:rowOff>104775</xdr:rowOff>
    </xdr:to>
    <xdr:sp macro="" textlink="">
      <xdr:nvSpPr>
        <xdr:cNvPr id="7" name="Right Arrow 6"/>
        <xdr:cNvSpPr/>
      </xdr:nvSpPr>
      <xdr:spPr>
        <a:xfrm>
          <a:off x="4114800" y="590550"/>
          <a:ext cx="523875" cy="342900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38100</xdr:rowOff>
        </xdr:from>
        <xdr:to>
          <xdr:col>6</xdr:col>
          <xdr:colOff>304800</xdr:colOff>
          <xdr:row>6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Excav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Backfill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3</xdr:row>
      <xdr:rowOff>131106</xdr:rowOff>
    </xdr:from>
    <xdr:to>
      <xdr:col>9</xdr:col>
      <xdr:colOff>523875</xdr:colOff>
      <xdr:row>5</xdr:row>
      <xdr:rowOff>151837</xdr:rowOff>
    </xdr:to>
    <xdr:sp macro="" textlink="">
      <xdr:nvSpPr>
        <xdr:cNvPr id="9" name="Right Arrow 8"/>
        <xdr:cNvSpPr/>
      </xdr:nvSpPr>
      <xdr:spPr>
        <a:xfrm>
          <a:off x="5546912" y="624165"/>
          <a:ext cx="523875" cy="334496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47625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add_QTY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274474</xdr:colOff>
      <xdr:row>4</xdr:row>
      <xdr:rowOff>18910</xdr:rowOff>
    </xdr:from>
    <xdr:to>
      <xdr:col>12</xdr:col>
      <xdr:colOff>69686</xdr:colOff>
      <xdr:row>7</xdr:row>
      <xdr:rowOff>11207</xdr:rowOff>
    </xdr:to>
    <xdr:sp macro="" textlink="">
      <xdr:nvSpPr>
        <xdr:cNvPr id="11" name="Right Arrow 10"/>
        <xdr:cNvSpPr/>
      </xdr:nvSpPr>
      <xdr:spPr>
        <a:xfrm rot="4725406">
          <a:off x="7140387" y="750585"/>
          <a:ext cx="496562" cy="333094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7</xdr:row>
          <xdr:rowOff>95250</xdr:rowOff>
        </xdr:from>
        <xdr:to>
          <xdr:col>12</xdr:col>
          <xdr:colOff>552450</xdr:colOff>
          <xdr:row>10</xdr:row>
          <xdr:rowOff>66675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clear_QTY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0</xdr:row>
          <xdr:rowOff>57150</xdr:rowOff>
        </xdr:from>
        <xdr:to>
          <xdr:col>3</xdr:col>
          <xdr:colOff>381000</xdr:colOff>
          <xdr:row>2</xdr:row>
          <xdr:rowOff>95250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Go_2_Draw_sheet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34320</xdr:colOff>
      <xdr:row>9</xdr:row>
      <xdr:rowOff>123264</xdr:rowOff>
    </xdr:from>
    <xdr:to>
      <xdr:col>0</xdr:col>
      <xdr:colOff>546288</xdr:colOff>
      <xdr:row>12</xdr:row>
      <xdr:rowOff>128867</xdr:rowOff>
    </xdr:to>
    <xdr:sp macro="[0]!Sta" textlink="">
      <xdr:nvSpPr>
        <xdr:cNvPr id="16" name="Isosceles Triangle 15"/>
        <xdr:cNvSpPr/>
      </xdr:nvSpPr>
      <xdr:spPr>
        <a:xfrm>
          <a:off x="34320" y="1591235"/>
          <a:ext cx="511968" cy="476250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22412</xdr:colOff>
      <xdr:row>13</xdr:row>
      <xdr:rowOff>91048</xdr:rowOff>
    </xdr:from>
    <xdr:to>
      <xdr:col>0</xdr:col>
      <xdr:colOff>558194</xdr:colOff>
      <xdr:row>16</xdr:row>
      <xdr:rowOff>84744</xdr:rowOff>
    </xdr:to>
    <xdr:sp macro="[0]!Sta" textlink="">
      <xdr:nvSpPr>
        <xdr:cNvPr id="17" name="Isosceles Triangle 16"/>
        <xdr:cNvSpPr/>
      </xdr:nvSpPr>
      <xdr:spPr>
        <a:xfrm rot="10800000">
          <a:off x="22412" y="2186548"/>
          <a:ext cx="535782" cy="464343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</xdr:row>
          <xdr:rowOff>104775</xdr:rowOff>
        </xdr:from>
        <xdr:to>
          <xdr:col>13</xdr:col>
          <xdr:colOff>438150</xdr:colOff>
          <xdr:row>4</xdr:row>
          <xdr:rowOff>85725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586779</xdr:colOff>
      <xdr:row>2</xdr:row>
      <xdr:rowOff>156323</xdr:rowOff>
    </xdr:from>
    <xdr:to>
      <xdr:col>4</xdr:col>
      <xdr:colOff>405804</xdr:colOff>
      <xdr:row>4</xdr:row>
      <xdr:rowOff>130550</xdr:rowOff>
    </xdr:to>
    <xdr:sp macro="" textlink="">
      <xdr:nvSpPr>
        <xdr:cNvPr id="6" name="Right Arrow 5"/>
        <xdr:cNvSpPr/>
      </xdr:nvSpPr>
      <xdr:spPr>
        <a:xfrm>
          <a:off x="2396529" y="489698"/>
          <a:ext cx="521494" cy="331415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2</xdr:row>
          <xdr:rowOff>123825</xdr:rowOff>
        </xdr:from>
        <xdr:to>
          <xdr:col>10</xdr:col>
          <xdr:colOff>523875</xdr:colOff>
          <xdr:row>5</xdr:row>
          <xdr:rowOff>28575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add_QTY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11147</xdr:colOff>
      <xdr:row>3</xdr:row>
      <xdr:rowOff>83343</xdr:rowOff>
    </xdr:from>
    <xdr:to>
      <xdr:col>11</xdr:col>
      <xdr:colOff>354047</xdr:colOff>
      <xdr:row>6</xdr:row>
      <xdr:rowOff>37820</xdr:rowOff>
    </xdr:to>
    <xdr:sp macro="" textlink="">
      <xdr:nvSpPr>
        <xdr:cNvPr id="11" name="Right Arrow 10"/>
        <xdr:cNvSpPr/>
      </xdr:nvSpPr>
      <xdr:spPr>
        <a:xfrm rot="4725406">
          <a:off x="6682358" y="674945"/>
          <a:ext cx="525977" cy="342900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95250</xdr:rowOff>
        </xdr:from>
        <xdr:to>
          <xdr:col>12</xdr:col>
          <xdr:colOff>114300</xdr:colOff>
          <xdr:row>9</xdr:row>
          <xdr:rowOff>66675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clear_QTY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123825</xdr:colOff>
          <xdr:row>2</xdr:row>
          <xdr:rowOff>38100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Go_2_Draw_sheet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142875</xdr:rowOff>
        </xdr:from>
        <xdr:to>
          <xdr:col>8</xdr:col>
          <xdr:colOff>190500</xdr:colOff>
          <xdr:row>5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Grid_&amp;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95250</xdr:rowOff>
        </xdr:from>
        <xdr:to>
          <xdr:col>1</xdr:col>
          <xdr:colOff>304800</xdr:colOff>
          <xdr:row>4</xdr:row>
          <xdr:rowOff>180975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Adjust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379609</xdr:colOff>
      <xdr:row>2</xdr:row>
      <xdr:rowOff>158704</xdr:rowOff>
    </xdr:from>
    <xdr:to>
      <xdr:col>2</xdr:col>
      <xdr:colOff>298367</xdr:colOff>
      <xdr:row>4</xdr:row>
      <xdr:rowOff>132931</xdr:rowOff>
    </xdr:to>
    <xdr:sp macro="" textlink="">
      <xdr:nvSpPr>
        <xdr:cNvPr id="16" name="Right Arrow 15"/>
        <xdr:cNvSpPr/>
      </xdr:nvSpPr>
      <xdr:spPr>
        <a:xfrm>
          <a:off x="974922" y="492079"/>
          <a:ext cx="525976" cy="331415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2</xdr:row>
          <xdr:rowOff>104775</xdr:rowOff>
        </xdr:from>
        <xdr:to>
          <xdr:col>3</xdr:col>
          <xdr:colOff>514350</xdr:colOff>
          <xdr:row>5</xdr:row>
          <xdr:rowOff>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Draw_BC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58141</xdr:colOff>
      <xdr:row>3</xdr:row>
      <xdr:rowOff>1541</xdr:rowOff>
    </xdr:from>
    <xdr:to>
      <xdr:col>6</xdr:col>
      <xdr:colOff>579635</xdr:colOff>
      <xdr:row>4</xdr:row>
      <xdr:rowOff>142456</xdr:rowOff>
    </xdr:to>
    <xdr:sp macro="" textlink="">
      <xdr:nvSpPr>
        <xdr:cNvPr id="18" name="Right Arrow 17"/>
        <xdr:cNvSpPr/>
      </xdr:nvSpPr>
      <xdr:spPr>
        <a:xfrm>
          <a:off x="3784797" y="501604"/>
          <a:ext cx="521494" cy="331415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114300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Excav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273156</xdr:colOff>
      <xdr:row>3</xdr:row>
      <xdr:rowOff>53365</xdr:rowOff>
    </xdr:from>
    <xdr:to>
      <xdr:col>9</xdr:col>
      <xdr:colOff>191913</xdr:colOff>
      <xdr:row>5</xdr:row>
      <xdr:rowOff>6861</xdr:rowOff>
    </xdr:to>
    <xdr:sp macro="" textlink="">
      <xdr:nvSpPr>
        <xdr:cNvPr id="20" name="Right Arrow 19"/>
        <xdr:cNvSpPr/>
      </xdr:nvSpPr>
      <xdr:spPr>
        <a:xfrm>
          <a:off x="5214250" y="553428"/>
          <a:ext cx="525976" cy="334496"/>
        </a:xfrm>
        <a:prstGeom prst="rightArrow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23814</xdr:colOff>
      <xdr:row>9</xdr:row>
      <xdr:rowOff>0</xdr:rowOff>
    </xdr:from>
    <xdr:to>
      <xdr:col>0</xdr:col>
      <xdr:colOff>535782</xdr:colOff>
      <xdr:row>11</xdr:row>
      <xdr:rowOff>142875</xdr:rowOff>
    </xdr:to>
    <xdr:sp macro="[0]!Sta" textlink="">
      <xdr:nvSpPr>
        <xdr:cNvPr id="17" name="Isosceles Triangle 16"/>
        <xdr:cNvSpPr/>
      </xdr:nvSpPr>
      <xdr:spPr>
        <a:xfrm>
          <a:off x="23814" y="1571625"/>
          <a:ext cx="511968" cy="476250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11906</xdr:colOff>
      <xdr:row>12</xdr:row>
      <xdr:rowOff>95250</xdr:rowOff>
    </xdr:from>
    <xdr:to>
      <xdr:col>0</xdr:col>
      <xdr:colOff>547688</xdr:colOff>
      <xdr:row>15</xdr:row>
      <xdr:rowOff>59531</xdr:rowOff>
    </xdr:to>
    <xdr:sp macro="[0]!Sta" textlink="">
      <xdr:nvSpPr>
        <xdr:cNvPr id="19" name="Isosceles Triangle 18"/>
        <xdr:cNvSpPr/>
      </xdr:nvSpPr>
      <xdr:spPr>
        <a:xfrm rot="10800000">
          <a:off x="11906" y="2166938"/>
          <a:ext cx="535782" cy="464343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2</xdr:row>
          <xdr:rowOff>114300</xdr:rowOff>
        </xdr:from>
        <xdr:to>
          <xdr:col>12</xdr:col>
          <xdr:colOff>581025</xdr:colOff>
          <xdr:row>5</xdr:row>
          <xdr:rowOff>57150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50907</xdr:colOff>
      <xdr:row>98</xdr:row>
      <xdr:rowOff>44824</xdr:rowOff>
    </xdr:from>
    <xdr:to>
      <xdr:col>1</xdr:col>
      <xdr:colOff>89646</xdr:colOff>
      <xdr:row>101</xdr:row>
      <xdr:rowOff>88847</xdr:rowOff>
    </xdr:to>
    <xdr:sp macro="[0]!Sta" textlink="">
      <xdr:nvSpPr>
        <xdr:cNvPr id="2" name="Isosceles Triangle 1"/>
        <xdr:cNvSpPr/>
      </xdr:nvSpPr>
      <xdr:spPr>
        <a:xfrm>
          <a:off x="50907" y="5188324"/>
          <a:ext cx="643857" cy="514670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38739</xdr:colOff>
      <xdr:row>2</xdr:row>
      <xdr:rowOff>77641</xdr:rowOff>
    </xdr:to>
    <xdr:sp macro="[0]!Sta" textlink="">
      <xdr:nvSpPr>
        <xdr:cNvPr id="3" name="Isosceles Triangle 2"/>
        <xdr:cNvSpPr/>
      </xdr:nvSpPr>
      <xdr:spPr>
        <a:xfrm>
          <a:off x="0" y="0"/>
          <a:ext cx="643857" cy="514670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66675</xdr:rowOff>
    </xdr:from>
    <xdr:to>
      <xdr:col>3</xdr:col>
      <xdr:colOff>350043</xdr:colOff>
      <xdr:row>0</xdr:row>
      <xdr:rowOff>523314</xdr:rowOff>
    </xdr:to>
    <xdr:sp macro="[0]!Sta" textlink="">
      <xdr:nvSpPr>
        <xdr:cNvPr id="2" name="Isosceles Triangle 1"/>
        <xdr:cNvSpPr/>
      </xdr:nvSpPr>
      <xdr:spPr>
        <a:xfrm>
          <a:off x="4943475" y="66675"/>
          <a:ext cx="511968" cy="456639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5</xdr:row>
          <xdr:rowOff>38100</xdr:rowOff>
        </xdr:from>
        <xdr:to>
          <xdr:col>5</xdr:col>
          <xdr:colOff>428625</xdr:colOff>
          <xdr:row>8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Excav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3</xdr:row>
          <xdr:rowOff>66675</xdr:rowOff>
        </xdr:from>
        <xdr:to>
          <xdr:col>13</xdr:col>
          <xdr:colOff>561975</xdr:colOff>
          <xdr:row>4</xdr:row>
          <xdr:rowOff>66675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</xdr:row>
          <xdr:rowOff>142875</xdr:rowOff>
        </xdr:from>
        <xdr:to>
          <xdr:col>13</xdr:col>
          <xdr:colOff>561975</xdr:colOff>
          <xdr:row>5</xdr:row>
          <xdr:rowOff>142875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Go_2_Slab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6</xdr:row>
          <xdr:rowOff>47625</xdr:rowOff>
        </xdr:from>
        <xdr:to>
          <xdr:col>13</xdr:col>
          <xdr:colOff>561975</xdr:colOff>
          <xdr:row>7</xdr:row>
          <xdr:rowOff>47625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7</xdr:row>
          <xdr:rowOff>171450</xdr:rowOff>
        </xdr:from>
        <xdr:to>
          <xdr:col>13</xdr:col>
          <xdr:colOff>561975</xdr:colOff>
          <xdr:row>8</xdr:row>
          <xdr:rowOff>171450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9</xdr:row>
          <xdr:rowOff>95250</xdr:rowOff>
        </xdr:from>
        <xdr:to>
          <xdr:col>13</xdr:col>
          <xdr:colOff>561975</xdr:colOff>
          <xdr:row>10</xdr:row>
          <xdr:rowOff>95250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Go_2_MH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5</xdr:row>
          <xdr:rowOff>152400</xdr:rowOff>
        </xdr:from>
        <xdr:to>
          <xdr:col>8</xdr:col>
          <xdr:colOff>371475</xdr:colOff>
          <xdr:row>6</xdr:row>
          <xdr:rowOff>152400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7</xdr:row>
          <xdr:rowOff>38100</xdr:rowOff>
        </xdr:from>
        <xdr:to>
          <xdr:col>8</xdr:col>
          <xdr:colOff>371475</xdr:colOff>
          <xdr:row>8</xdr:row>
          <xdr:rowOff>38100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Go_2_Slab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8</xdr:row>
          <xdr:rowOff>133350</xdr:rowOff>
        </xdr:from>
        <xdr:to>
          <xdr:col>8</xdr:col>
          <xdr:colOff>371475</xdr:colOff>
          <xdr:row>9</xdr:row>
          <xdr:rowOff>133350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10</xdr:row>
          <xdr:rowOff>66675</xdr:rowOff>
        </xdr:from>
        <xdr:to>
          <xdr:col>8</xdr:col>
          <xdr:colOff>371475</xdr:colOff>
          <xdr:row>11</xdr:row>
          <xdr:rowOff>66675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180975</xdr:rowOff>
        </xdr:from>
        <xdr:to>
          <xdr:col>8</xdr:col>
          <xdr:colOff>371475</xdr:colOff>
          <xdr:row>12</xdr:row>
          <xdr:rowOff>180975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Go_2_MH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7</xdr:col>
      <xdr:colOff>511968</xdr:colOff>
      <xdr:row>2</xdr:row>
      <xdr:rowOff>75639</xdr:rowOff>
    </xdr:to>
    <xdr:sp macro="[0]!Sta" textlink="">
      <xdr:nvSpPr>
        <xdr:cNvPr id="13" name="Isosceles Triangle 12"/>
        <xdr:cNvSpPr/>
      </xdr:nvSpPr>
      <xdr:spPr>
        <a:xfrm>
          <a:off x="4591050" y="0"/>
          <a:ext cx="511968" cy="456639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7</xdr:col>
          <xdr:colOff>123825</xdr:colOff>
          <xdr:row>5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95250</xdr:rowOff>
        </xdr:from>
        <xdr:to>
          <xdr:col>7</xdr:col>
          <xdr:colOff>123825</xdr:colOff>
          <xdr:row>8</xdr:row>
          <xdr:rowOff>95250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7</xdr:col>
          <xdr:colOff>123825</xdr:colOff>
          <xdr:row>5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95250</xdr:rowOff>
        </xdr:from>
        <xdr:to>
          <xdr:col>7</xdr:col>
          <xdr:colOff>123825</xdr:colOff>
          <xdr:row>8</xdr:row>
          <xdr:rowOff>95250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7</xdr:col>
          <xdr:colOff>123825</xdr:colOff>
          <xdr:row>5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Move_Adjust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95250</xdr:rowOff>
        </xdr:from>
        <xdr:to>
          <xdr:col>7</xdr:col>
          <xdr:colOff>123825</xdr:colOff>
          <xdr:row>8</xdr:row>
          <xdr:rowOff>95250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47625</xdr:rowOff>
        </xdr:from>
        <xdr:to>
          <xdr:col>9</xdr:col>
          <xdr:colOff>552450</xdr:colOff>
          <xdr:row>4</xdr:row>
          <xdr:rowOff>76200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152400</xdr:rowOff>
        </xdr:from>
        <xdr:to>
          <xdr:col>9</xdr:col>
          <xdr:colOff>552450</xdr:colOff>
          <xdr:row>6</xdr:row>
          <xdr:rowOff>19050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Go_2_Slab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6</xdr:row>
          <xdr:rowOff>114300</xdr:rowOff>
        </xdr:from>
        <xdr:to>
          <xdr:col>9</xdr:col>
          <xdr:colOff>552450</xdr:colOff>
          <xdr:row>7</xdr:row>
          <xdr:rowOff>142875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8</xdr:row>
          <xdr:rowOff>104775</xdr:rowOff>
        </xdr:from>
        <xdr:to>
          <xdr:col>9</xdr:col>
          <xdr:colOff>552450</xdr:colOff>
          <xdr:row>9</xdr:row>
          <xdr:rowOff>133350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10</xdr:row>
          <xdr:rowOff>114300</xdr:rowOff>
        </xdr:from>
        <xdr:to>
          <xdr:col>4</xdr:col>
          <xdr:colOff>104775</xdr:colOff>
          <xdr:row>11</xdr:row>
          <xdr:rowOff>114300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12</xdr:row>
          <xdr:rowOff>0</xdr:rowOff>
        </xdr:from>
        <xdr:to>
          <xdr:col>4</xdr:col>
          <xdr:colOff>104775</xdr:colOff>
          <xdr:row>13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Go_2_Slab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13</xdr:row>
          <xdr:rowOff>95250</xdr:rowOff>
        </xdr:from>
        <xdr:to>
          <xdr:col>4</xdr:col>
          <xdr:colOff>104775</xdr:colOff>
          <xdr:row>14</xdr:row>
          <xdr:rowOff>95250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28575</xdr:rowOff>
        </xdr:from>
        <xdr:to>
          <xdr:col>4</xdr:col>
          <xdr:colOff>104775</xdr:colOff>
          <xdr:row>16</xdr:row>
          <xdr:rowOff>28575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16</xdr:row>
          <xdr:rowOff>142875</xdr:rowOff>
        </xdr:from>
        <xdr:to>
          <xdr:col>4</xdr:col>
          <xdr:colOff>104775</xdr:colOff>
          <xdr:row>17</xdr:row>
          <xdr:rowOff>142875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Go_2_MH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11</xdr:row>
          <xdr:rowOff>95250</xdr:rowOff>
        </xdr:from>
        <xdr:to>
          <xdr:col>6</xdr:col>
          <xdr:colOff>504825</xdr:colOff>
          <xdr:row>14</xdr:row>
          <xdr:rowOff>9525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Move_Adjust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SLAB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142875</xdr:colOff>
      <xdr:row>0</xdr:row>
      <xdr:rowOff>66675</xdr:rowOff>
    </xdr:from>
    <xdr:to>
      <xdr:col>12</xdr:col>
      <xdr:colOff>45243</xdr:colOff>
      <xdr:row>3</xdr:row>
      <xdr:rowOff>37539</xdr:rowOff>
    </xdr:to>
    <xdr:sp macro="[0]!Sta" textlink="">
      <xdr:nvSpPr>
        <xdr:cNvPr id="18" name="Isosceles Triangle 17"/>
        <xdr:cNvSpPr/>
      </xdr:nvSpPr>
      <xdr:spPr>
        <a:xfrm>
          <a:off x="6991350" y="66675"/>
          <a:ext cx="511968" cy="456639"/>
        </a:xfrm>
        <a:prstGeom prst="triangl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rawMino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LB_CU"/>
      <sheetName val="BOX_CU"/>
      <sheetName val="PipeEnd_data"/>
      <sheetName val="Chk_dm"/>
      <sheetName val="ERA2013"/>
      <sheetName val="Sheet1"/>
    </sheetNames>
    <definedNames>
      <definedName name="BX_draw_button.bx_draw_button"/>
      <definedName name="SL_draw_button.SL_draw_button"/>
    </definedNames>
    <sheetDataSet>
      <sheetData sheetId="0">
        <row r="4">
          <cell r="B4">
            <v>1220</v>
          </cell>
          <cell r="D4">
            <v>0.73</v>
          </cell>
        </row>
        <row r="5">
          <cell r="B5">
            <v>48</v>
          </cell>
        </row>
        <row r="6">
          <cell r="I6">
            <v>0.1</v>
          </cell>
          <cell r="J6">
            <v>1</v>
          </cell>
        </row>
        <row r="7">
          <cell r="D7" t="str">
            <v>C</v>
          </cell>
          <cell r="G7" t="str">
            <v>C</v>
          </cell>
        </row>
        <row r="10">
          <cell r="G10">
            <v>2013</v>
          </cell>
        </row>
        <row r="29">
          <cell r="C29">
            <v>960.22013460959067</v>
          </cell>
        </row>
        <row r="30">
          <cell r="C30">
            <v>-30375.572745502668</v>
          </cell>
        </row>
        <row r="32">
          <cell r="C32">
            <v>981.68054468002526</v>
          </cell>
        </row>
        <row r="37">
          <cell r="C37">
            <v>971.08721545599292</v>
          </cell>
        </row>
        <row r="38">
          <cell r="C38">
            <v>-30374.363073190169</v>
          </cell>
        </row>
        <row r="42">
          <cell r="C42">
            <v>981.68054468002526</v>
          </cell>
        </row>
        <row r="43">
          <cell r="C43">
            <v>-30374.285407895481</v>
          </cell>
        </row>
        <row r="46">
          <cell r="C46">
            <v>960.22013460959067</v>
          </cell>
        </row>
        <row r="47">
          <cell r="C47">
            <v>-30374.442745502667</v>
          </cell>
        </row>
        <row r="50">
          <cell r="B50">
            <v>971.08721545599292</v>
          </cell>
          <cell r="C50">
            <v>-30373.043073190169</v>
          </cell>
        </row>
        <row r="53">
          <cell r="I53">
            <v>980.48054468002522</v>
          </cell>
          <cell r="J53">
            <v>-30374.885407895479</v>
          </cell>
        </row>
        <row r="54">
          <cell r="B54">
            <v>971.08721545599292</v>
          </cell>
          <cell r="C54">
            <v>-30372.702706236912</v>
          </cell>
          <cell r="I54">
            <v>961.42013460959072</v>
          </cell>
          <cell r="J54">
            <v>-30375.042745502666</v>
          </cell>
        </row>
      </sheetData>
      <sheetData sheetId="1">
        <row r="5">
          <cell r="D5">
            <v>1</v>
          </cell>
          <cell r="E5">
            <v>1</v>
          </cell>
        </row>
        <row r="6">
          <cell r="H6" t="str">
            <v>C</v>
          </cell>
          <cell r="I6" t="str">
            <v>C</v>
          </cell>
        </row>
        <row r="8">
          <cell r="B8">
            <v>1.649569805019155</v>
          </cell>
        </row>
        <row r="12">
          <cell r="C12">
            <v>0.3</v>
          </cell>
          <cell r="D12">
            <v>0.20499999999999999</v>
          </cell>
          <cell r="E12">
            <v>1.3</v>
          </cell>
        </row>
        <row r="15">
          <cell r="D15">
            <v>0.3</v>
          </cell>
        </row>
        <row r="16">
          <cell r="G16">
            <v>0.2</v>
          </cell>
        </row>
        <row r="17">
          <cell r="D17">
            <v>3.15</v>
          </cell>
          <cell r="E17">
            <v>3.15</v>
          </cell>
          <cell r="F17">
            <v>1.5</v>
          </cell>
        </row>
      </sheetData>
      <sheetData sheetId="2">
        <row r="5">
          <cell r="D5">
            <v>2</v>
          </cell>
          <cell r="E5">
            <v>1</v>
          </cell>
          <cell r="F5" t="str">
            <v>&gt;&gt;&gt;&gt;&gt;</v>
          </cell>
          <cell r="H5" t="str">
            <v>MWW</v>
          </cell>
          <cell r="I5" t="str">
            <v>MWW</v>
          </cell>
        </row>
        <row r="8">
          <cell r="C8">
            <v>1.649569805019155</v>
          </cell>
          <cell r="D8">
            <v>0.2</v>
          </cell>
          <cell r="E8">
            <v>1</v>
          </cell>
          <cell r="M8">
            <v>0.2</v>
          </cell>
        </row>
        <row r="42">
          <cell r="H42">
            <v>981.82541312720468</v>
          </cell>
          <cell r="I42">
            <v>-30160.989108985825</v>
          </cell>
        </row>
        <row r="45">
          <cell r="H45">
            <v>960.408318561069</v>
          </cell>
          <cell r="I45">
            <v>-30161.074777364091</v>
          </cell>
        </row>
        <row r="48">
          <cell r="H48">
            <v>971.08721545599292</v>
          </cell>
          <cell r="I48">
            <v>-30096.614507256283</v>
          </cell>
        </row>
        <row r="54">
          <cell r="H54">
            <v>960.408318561069</v>
          </cell>
          <cell r="I54">
            <v>-30161.074777364091</v>
          </cell>
        </row>
      </sheetData>
      <sheetData sheetId="3"/>
      <sheetData sheetId="4"/>
      <sheetData sheetId="5">
        <row r="3">
          <cell r="M3">
            <v>10.72</v>
          </cell>
          <cell r="N3">
            <v>8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av"/>
      <sheetName val="mov"/>
      <sheetName val="Sheet3"/>
      <sheetName val="Book2"/>
    </sheetNames>
    <definedNames>
      <definedName name="slop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8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57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omments" Target="../comments6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585"/>
  <sheetViews>
    <sheetView zoomScale="85" zoomScaleNormal="85" workbookViewId="0">
      <pane ySplit="1965" activePane="bottomLeft"/>
      <selection activeCell="I1" sqref="I1"/>
      <selection pane="bottomLeft" activeCell="A5" sqref="A5"/>
    </sheetView>
  </sheetViews>
  <sheetFormatPr defaultRowHeight="15"/>
  <cols>
    <col min="1" max="1" width="15.5703125" style="455" bestFit="1" customWidth="1"/>
    <col min="2" max="2" width="9.42578125" style="455" customWidth="1"/>
    <col min="3" max="9" width="9.140625" style="452"/>
    <col min="10" max="10" width="0" style="452" hidden="1" customWidth="1"/>
    <col min="11" max="16384" width="9.140625" style="452"/>
  </cols>
  <sheetData>
    <row r="1" spans="1:47">
      <c r="A1" s="451" t="s">
        <v>425</v>
      </c>
      <c r="B1" s="452"/>
      <c r="C1" s="453" t="s">
        <v>420</v>
      </c>
    </row>
    <row r="2" spans="1:47">
      <c r="A2" s="452">
        <v>5</v>
      </c>
      <c r="B2" s="452"/>
      <c r="G2" s="459"/>
    </row>
    <row r="3" spans="1:47">
      <c r="A3" s="452"/>
      <c r="B3" s="452"/>
    </row>
    <row r="4" spans="1:47">
      <c r="A4" s="454" t="s">
        <v>180</v>
      </c>
      <c r="B4" s="524"/>
      <c r="J4" s="452">
        <v>0.1</v>
      </c>
    </row>
    <row r="5" spans="1:47" ht="14.25" customHeight="1">
      <c r="A5" s="532" t="s">
        <v>425</v>
      </c>
      <c r="B5" s="525"/>
      <c r="C5" s="456">
        <v>0.6</v>
      </c>
      <c r="D5" s="457" t="s">
        <v>378</v>
      </c>
      <c r="J5" s="452">
        <v>0.2</v>
      </c>
    </row>
    <row r="6" spans="1:47" ht="13.5" customHeight="1">
      <c r="A6" s="455" t="s">
        <v>424</v>
      </c>
      <c r="B6" s="473"/>
      <c r="C6" s="455">
        <v>401.38099999999997</v>
      </c>
      <c r="J6" s="452">
        <v>0.3</v>
      </c>
    </row>
    <row r="7" spans="1:47">
      <c r="A7" s="455" t="s">
        <v>423</v>
      </c>
      <c r="B7" s="473"/>
      <c r="J7" s="452">
        <v>0.4</v>
      </c>
      <c r="AU7" s="452">
        <v>0</v>
      </c>
    </row>
    <row r="8" spans="1:47">
      <c r="A8" s="455" t="s">
        <v>422</v>
      </c>
      <c r="B8" s="473"/>
      <c r="C8" s="525"/>
      <c r="J8" s="452">
        <v>0.5</v>
      </c>
    </row>
    <row r="9" spans="1:47" ht="15.75" customHeight="1">
      <c r="A9" s="455" t="s">
        <v>421</v>
      </c>
      <c r="B9" s="473"/>
      <c r="C9" s="524"/>
      <c r="J9" s="452">
        <v>0.6</v>
      </c>
    </row>
    <row r="10" spans="1:47">
      <c r="B10" s="473"/>
      <c r="E10" s="523"/>
      <c r="H10" s="452">
        <v>0.1</v>
      </c>
      <c r="J10" s="452">
        <f>K9+0.75</f>
        <v>0.75</v>
      </c>
      <c r="L10" s="452">
        <v>2</v>
      </c>
    </row>
    <row r="11" spans="1:47">
      <c r="B11" s="473"/>
      <c r="C11" s="529">
        <v>98213</v>
      </c>
      <c r="D11" s="455"/>
      <c r="H11" s="452">
        <f>H10+0.1</f>
        <v>0.2</v>
      </c>
      <c r="J11" s="452">
        <f>J10+0.75</f>
        <v>1.5</v>
      </c>
      <c r="L11" s="452">
        <f>L10+2</f>
        <v>4</v>
      </c>
    </row>
    <row r="12" spans="1:47">
      <c r="B12" s="526"/>
      <c r="C12" s="527">
        <v>98760</v>
      </c>
      <c r="D12" s="455" t="s">
        <v>408</v>
      </c>
      <c r="F12" s="523" t="s">
        <v>416</v>
      </c>
      <c r="H12" s="452">
        <f t="shared" ref="H12:H18" si="0">H11+0.1</f>
        <v>0.30000000000000004</v>
      </c>
      <c r="J12" s="452">
        <f t="shared" ref="J12:J44" si="1">J11+0.75</f>
        <v>2.25</v>
      </c>
      <c r="L12" s="452">
        <f t="shared" ref="L12:L36" si="2">L11+2</f>
        <v>6</v>
      </c>
    </row>
    <row r="13" spans="1:47">
      <c r="B13" s="473"/>
      <c r="C13" s="527">
        <v>98850</v>
      </c>
      <c r="D13" s="455" t="s">
        <v>412</v>
      </c>
      <c r="F13" s="523" t="s">
        <v>416</v>
      </c>
      <c r="H13" s="452">
        <f t="shared" si="0"/>
        <v>0.4</v>
      </c>
      <c r="J13" s="452">
        <f t="shared" si="1"/>
        <v>3</v>
      </c>
      <c r="L13" s="452">
        <f t="shared" si="2"/>
        <v>8</v>
      </c>
    </row>
    <row r="14" spans="1:47">
      <c r="B14" s="473"/>
      <c r="C14" s="527">
        <v>100030</v>
      </c>
      <c r="D14" s="455" t="s">
        <v>413</v>
      </c>
      <c r="F14" s="523" t="s">
        <v>416</v>
      </c>
      <c r="H14" s="452">
        <f t="shared" si="0"/>
        <v>0.5</v>
      </c>
      <c r="J14" s="452">
        <f t="shared" si="1"/>
        <v>3.75</v>
      </c>
      <c r="L14" s="452">
        <f t="shared" si="2"/>
        <v>10</v>
      </c>
    </row>
    <row r="15" spans="1:47">
      <c r="B15" s="452"/>
      <c r="C15" s="527">
        <v>100429</v>
      </c>
      <c r="D15" s="455"/>
      <c r="F15" s="523"/>
      <c r="H15" s="452">
        <f t="shared" si="0"/>
        <v>0.6</v>
      </c>
      <c r="J15" s="452">
        <f t="shared" si="1"/>
        <v>4.5</v>
      </c>
      <c r="L15" s="452">
        <f t="shared" si="2"/>
        <v>12</v>
      </c>
    </row>
    <row r="16" spans="1:47">
      <c r="B16" s="452"/>
      <c r="C16" s="527">
        <v>101120</v>
      </c>
      <c r="D16" s="455" t="s">
        <v>411</v>
      </c>
      <c r="F16" s="523" t="s">
        <v>416</v>
      </c>
      <c r="H16" s="452">
        <f t="shared" si="0"/>
        <v>0.7</v>
      </c>
      <c r="J16" s="452">
        <f t="shared" si="1"/>
        <v>5.25</v>
      </c>
      <c r="L16" s="452">
        <f t="shared" si="2"/>
        <v>14</v>
      </c>
    </row>
    <row r="17" spans="2:12">
      <c r="B17" s="452"/>
      <c r="C17" s="527">
        <v>101492</v>
      </c>
      <c r="D17" s="455" t="s">
        <v>414</v>
      </c>
      <c r="F17" s="523" t="s">
        <v>416</v>
      </c>
      <c r="H17" s="452">
        <f t="shared" si="0"/>
        <v>0.79999999999999993</v>
      </c>
      <c r="J17" s="452">
        <f t="shared" si="1"/>
        <v>6</v>
      </c>
      <c r="L17" s="452">
        <f t="shared" si="2"/>
        <v>16</v>
      </c>
    </row>
    <row r="18" spans="2:12">
      <c r="B18" s="523"/>
      <c r="C18" s="528">
        <v>101570</v>
      </c>
      <c r="D18" s="455" t="s">
        <v>410</v>
      </c>
      <c r="F18" s="523" t="s">
        <v>416</v>
      </c>
      <c r="H18" s="452">
        <f t="shared" si="0"/>
        <v>0.89999999999999991</v>
      </c>
      <c r="J18" s="452">
        <f t="shared" si="1"/>
        <v>6.75</v>
      </c>
      <c r="L18" s="452">
        <f t="shared" si="2"/>
        <v>18</v>
      </c>
    </row>
    <row r="19" spans="2:12">
      <c r="B19" s="452"/>
      <c r="C19" s="527">
        <v>101800</v>
      </c>
      <c r="D19" s="455" t="s">
        <v>409</v>
      </c>
      <c r="F19" s="523" t="s">
        <v>416</v>
      </c>
      <c r="J19" s="452">
        <f t="shared" si="1"/>
        <v>7.5</v>
      </c>
      <c r="L19" s="452">
        <f t="shared" si="2"/>
        <v>20</v>
      </c>
    </row>
    <row r="20" spans="2:12">
      <c r="B20" s="452"/>
      <c r="C20" s="527">
        <v>102110</v>
      </c>
      <c r="D20" s="455"/>
      <c r="J20" s="452">
        <f t="shared" si="1"/>
        <v>8.25</v>
      </c>
      <c r="L20" s="452">
        <f t="shared" si="2"/>
        <v>22</v>
      </c>
    </row>
    <row r="21" spans="2:12">
      <c r="B21" s="452"/>
      <c r="C21" s="530">
        <v>102930</v>
      </c>
      <c r="D21" s="455" t="s">
        <v>415</v>
      </c>
      <c r="F21" s="523" t="s">
        <v>416</v>
      </c>
      <c r="J21" s="452">
        <f t="shared" si="1"/>
        <v>9</v>
      </c>
      <c r="L21" s="452">
        <f t="shared" si="2"/>
        <v>24</v>
      </c>
    </row>
    <row r="22" spans="2:12">
      <c r="B22" s="452"/>
      <c r="C22" s="531">
        <v>103380</v>
      </c>
      <c r="D22" s="455"/>
      <c r="H22" s="452">
        <f t="shared" ref="H22:H49" si="3">H21+0.05</f>
        <v>0.05</v>
      </c>
      <c r="J22" s="452">
        <f t="shared" si="1"/>
        <v>9.75</v>
      </c>
      <c r="L22" s="452">
        <f t="shared" si="2"/>
        <v>26</v>
      </c>
    </row>
    <row r="23" spans="2:12">
      <c r="B23" s="452"/>
      <c r="C23" s="527">
        <v>103700</v>
      </c>
      <c r="D23" s="455"/>
      <c r="H23" s="452">
        <f t="shared" si="3"/>
        <v>0.1</v>
      </c>
      <c r="J23" s="452">
        <f t="shared" si="1"/>
        <v>10.5</v>
      </c>
      <c r="L23" s="452">
        <f t="shared" si="2"/>
        <v>28</v>
      </c>
    </row>
    <row r="24" spans="2:12">
      <c r="B24" s="452"/>
      <c r="C24" s="527">
        <v>105001</v>
      </c>
      <c r="D24" s="455" t="s">
        <v>407</v>
      </c>
      <c r="F24" s="523" t="s">
        <v>416</v>
      </c>
      <c r="H24" s="452">
        <f t="shared" si="3"/>
        <v>0.15000000000000002</v>
      </c>
      <c r="J24" s="452">
        <f t="shared" si="1"/>
        <v>11.25</v>
      </c>
      <c r="L24" s="452">
        <f t="shared" si="2"/>
        <v>30</v>
      </c>
    </row>
    <row r="25" spans="2:12">
      <c r="B25" s="452"/>
      <c r="H25" s="452">
        <f t="shared" si="3"/>
        <v>0.2</v>
      </c>
      <c r="J25" s="452">
        <f t="shared" si="1"/>
        <v>12</v>
      </c>
      <c r="L25" s="452">
        <f t="shared" si="2"/>
        <v>32</v>
      </c>
    </row>
    <row r="26" spans="2:12">
      <c r="B26" s="452"/>
      <c r="D26" s="523" t="s">
        <v>7</v>
      </c>
      <c r="H26" s="452">
        <f t="shared" si="3"/>
        <v>0.25</v>
      </c>
      <c r="J26" s="452">
        <f t="shared" si="1"/>
        <v>12.75</v>
      </c>
      <c r="L26" s="452">
        <f t="shared" si="2"/>
        <v>34</v>
      </c>
    </row>
    <row r="27" spans="2:12">
      <c r="B27" s="452"/>
      <c r="D27" s="455" t="s">
        <v>419</v>
      </c>
      <c r="H27" s="452">
        <f t="shared" si="3"/>
        <v>0.3</v>
      </c>
      <c r="J27" s="452">
        <f t="shared" si="1"/>
        <v>13.5</v>
      </c>
      <c r="L27" s="452">
        <f t="shared" si="2"/>
        <v>36</v>
      </c>
    </row>
    <row r="28" spans="2:12">
      <c r="B28" s="452"/>
      <c r="D28" s="455" t="s">
        <v>418</v>
      </c>
      <c r="H28" s="452">
        <f t="shared" si="3"/>
        <v>0.35</v>
      </c>
      <c r="J28" s="452">
        <f t="shared" si="1"/>
        <v>14.25</v>
      </c>
      <c r="L28" s="452">
        <f t="shared" si="2"/>
        <v>38</v>
      </c>
    </row>
    <row r="29" spans="2:12">
      <c r="B29" s="452"/>
      <c r="D29" s="455" t="s">
        <v>417</v>
      </c>
      <c r="H29" s="452">
        <f t="shared" si="3"/>
        <v>0.39999999999999997</v>
      </c>
      <c r="I29" s="452">
        <v>1.2</v>
      </c>
      <c r="J29" s="452">
        <f t="shared" si="1"/>
        <v>15</v>
      </c>
      <c r="L29" s="452">
        <f t="shared" si="2"/>
        <v>40</v>
      </c>
    </row>
    <row r="30" spans="2:12">
      <c r="B30" s="452"/>
      <c r="H30" s="452">
        <f t="shared" si="3"/>
        <v>0.44999999999999996</v>
      </c>
      <c r="J30" s="452">
        <f t="shared" si="1"/>
        <v>15.75</v>
      </c>
      <c r="L30" s="452">
        <f t="shared" si="2"/>
        <v>42</v>
      </c>
    </row>
    <row r="31" spans="2:12">
      <c r="B31" s="452"/>
      <c r="H31" s="452">
        <f t="shared" si="3"/>
        <v>0.49999999999999994</v>
      </c>
      <c r="J31" s="452">
        <f t="shared" si="1"/>
        <v>16.5</v>
      </c>
      <c r="L31" s="452">
        <f t="shared" si="2"/>
        <v>44</v>
      </c>
    </row>
    <row r="32" spans="2:12">
      <c r="B32" s="452"/>
      <c r="E32" s="457" t="s">
        <v>394</v>
      </c>
      <c r="H32" s="452">
        <f t="shared" si="3"/>
        <v>0.54999999999999993</v>
      </c>
      <c r="J32" s="452">
        <f t="shared" si="1"/>
        <v>17.25</v>
      </c>
      <c r="L32" s="452">
        <f t="shared" si="2"/>
        <v>46</v>
      </c>
    </row>
    <row r="33" spans="2:12">
      <c r="B33" s="452"/>
      <c r="E33" s="457" t="s">
        <v>406</v>
      </c>
      <c r="H33" s="452">
        <f t="shared" si="3"/>
        <v>0.6</v>
      </c>
      <c r="J33" s="452">
        <f t="shared" si="1"/>
        <v>18</v>
      </c>
      <c r="L33" s="452">
        <f t="shared" si="2"/>
        <v>48</v>
      </c>
    </row>
    <row r="34" spans="2:12">
      <c r="B34" s="523"/>
      <c r="E34" s="457" t="s">
        <v>405</v>
      </c>
      <c r="H34" s="452">
        <f t="shared" si="3"/>
        <v>0.65</v>
      </c>
      <c r="J34" s="452">
        <f t="shared" si="1"/>
        <v>18.75</v>
      </c>
      <c r="L34" s="452">
        <f t="shared" si="2"/>
        <v>50</v>
      </c>
    </row>
    <row r="35" spans="2:12">
      <c r="B35" s="452"/>
      <c r="E35" s="457" t="s">
        <v>404</v>
      </c>
      <c r="H35" s="452">
        <f t="shared" si="3"/>
        <v>0.70000000000000007</v>
      </c>
      <c r="J35" s="452">
        <f t="shared" si="1"/>
        <v>19.5</v>
      </c>
      <c r="L35" s="452">
        <f t="shared" si="2"/>
        <v>52</v>
      </c>
    </row>
    <row r="36" spans="2:12">
      <c r="B36" s="452"/>
      <c r="E36" s="457" t="s">
        <v>403</v>
      </c>
      <c r="H36" s="452">
        <f t="shared" si="3"/>
        <v>0.75000000000000011</v>
      </c>
      <c r="J36" s="452">
        <f t="shared" si="1"/>
        <v>20.25</v>
      </c>
      <c r="L36" s="452">
        <f t="shared" si="2"/>
        <v>54</v>
      </c>
    </row>
    <row r="37" spans="2:12">
      <c r="B37" s="452"/>
      <c r="E37" s="457" t="s">
        <v>402</v>
      </c>
      <c r="H37" s="452">
        <f t="shared" si="3"/>
        <v>0.80000000000000016</v>
      </c>
      <c r="J37" s="452">
        <f t="shared" si="1"/>
        <v>21</v>
      </c>
    </row>
    <row r="38" spans="2:12">
      <c r="B38" s="452"/>
      <c r="E38" s="457" t="s">
        <v>401</v>
      </c>
      <c r="H38" s="452">
        <f t="shared" si="3"/>
        <v>0.8500000000000002</v>
      </c>
      <c r="J38" s="452">
        <f t="shared" si="1"/>
        <v>21.75</v>
      </c>
    </row>
    <row r="39" spans="2:12">
      <c r="B39" s="452"/>
      <c r="E39" s="457" t="s">
        <v>400</v>
      </c>
      <c r="H39" s="452">
        <f t="shared" si="3"/>
        <v>0.90000000000000024</v>
      </c>
      <c r="J39" s="452">
        <f t="shared" si="1"/>
        <v>22.5</v>
      </c>
    </row>
    <row r="40" spans="2:12">
      <c r="B40" s="452"/>
      <c r="E40" s="457" t="s">
        <v>399</v>
      </c>
      <c r="H40" s="452">
        <f t="shared" si="3"/>
        <v>0.95000000000000029</v>
      </c>
      <c r="J40" s="452">
        <f t="shared" si="1"/>
        <v>23.25</v>
      </c>
    </row>
    <row r="41" spans="2:12">
      <c r="B41" s="452"/>
      <c r="E41" s="457" t="s">
        <v>398</v>
      </c>
      <c r="H41" s="452">
        <f t="shared" si="3"/>
        <v>1.0000000000000002</v>
      </c>
      <c r="J41" s="452">
        <f t="shared" si="1"/>
        <v>24</v>
      </c>
    </row>
    <row r="42" spans="2:12">
      <c r="B42" s="452"/>
      <c r="E42" s="457" t="s">
        <v>397</v>
      </c>
      <c r="H42" s="452">
        <f t="shared" si="3"/>
        <v>1.0500000000000003</v>
      </c>
      <c r="J42" s="452">
        <f t="shared" si="1"/>
        <v>24.75</v>
      </c>
    </row>
    <row r="43" spans="2:12">
      <c r="B43" s="452"/>
      <c r="E43" s="457" t="s">
        <v>396</v>
      </c>
      <c r="H43" s="452">
        <f t="shared" si="3"/>
        <v>1.1000000000000003</v>
      </c>
      <c r="J43" s="452">
        <f t="shared" si="1"/>
        <v>25.5</v>
      </c>
    </row>
    <row r="44" spans="2:12">
      <c r="B44" s="452"/>
      <c r="E44" s="457" t="s">
        <v>395</v>
      </c>
      <c r="H44" s="452">
        <f t="shared" si="3"/>
        <v>1.1500000000000004</v>
      </c>
      <c r="J44" s="452">
        <f t="shared" si="1"/>
        <v>26.25</v>
      </c>
    </row>
    <row r="45" spans="2:12">
      <c r="B45" s="452"/>
      <c r="H45" s="452">
        <f t="shared" si="3"/>
        <v>1.2000000000000004</v>
      </c>
    </row>
    <row r="46" spans="2:12">
      <c r="B46" s="452"/>
      <c r="H46" s="452">
        <f t="shared" si="3"/>
        <v>1.2500000000000004</v>
      </c>
    </row>
    <row r="47" spans="2:12">
      <c r="B47" s="452"/>
      <c r="H47" s="452">
        <f t="shared" si="3"/>
        <v>1.3000000000000005</v>
      </c>
    </row>
    <row r="48" spans="2:12">
      <c r="B48" s="452"/>
      <c r="H48" s="452">
        <f t="shared" si="3"/>
        <v>1.3500000000000005</v>
      </c>
    </row>
    <row r="49" spans="2:8">
      <c r="B49" s="452"/>
      <c r="H49" s="452">
        <f t="shared" si="3"/>
        <v>1.4000000000000006</v>
      </c>
    </row>
    <row r="50" spans="2:8">
      <c r="B50" s="452"/>
    </row>
    <row r="51" spans="2:8">
      <c r="B51" s="452"/>
    </row>
    <row r="52" spans="2:8">
      <c r="B52" s="452"/>
    </row>
    <row r="53" spans="2:8">
      <c r="B53" s="452"/>
    </row>
    <row r="54" spans="2:8">
      <c r="B54" s="452"/>
    </row>
    <row r="55" spans="2:8">
      <c r="B55" s="452"/>
    </row>
    <row r="56" spans="2:8">
      <c r="B56" s="452"/>
    </row>
    <row r="57" spans="2:8">
      <c r="B57" s="452"/>
    </row>
    <row r="58" spans="2:8">
      <c r="B58" s="452"/>
    </row>
    <row r="59" spans="2:8">
      <c r="B59" s="452"/>
    </row>
    <row r="60" spans="2:8">
      <c r="B60" s="452"/>
    </row>
    <row r="61" spans="2:8">
      <c r="B61" s="452"/>
    </row>
    <row r="62" spans="2:8">
      <c r="B62" s="452"/>
    </row>
    <row r="63" spans="2:8">
      <c r="B63" s="452"/>
    </row>
    <row r="64" spans="2:8">
      <c r="B64" s="452"/>
    </row>
    <row r="65" spans="2:2">
      <c r="B65" s="452"/>
    </row>
    <row r="66" spans="2:2">
      <c r="B66" s="452"/>
    </row>
    <row r="67" spans="2:2">
      <c r="B67" s="452"/>
    </row>
    <row r="68" spans="2:2">
      <c r="B68" s="452"/>
    </row>
    <row r="69" spans="2:2">
      <c r="B69" s="452"/>
    </row>
    <row r="70" spans="2:2">
      <c r="B70" s="523" t="s">
        <v>393</v>
      </c>
    </row>
    <row r="71" spans="2:2">
      <c r="B71" s="523" t="s">
        <v>393</v>
      </c>
    </row>
    <row r="72" spans="2:2">
      <c r="B72" s="523" t="s">
        <v>393</v>
      </c>
    </row>
    <row r="73" spans="2:2">
      <c r="B73" s="452"/>
    </row>
    <row r="74" spans="2:2">
      <c r="B74" s="452"/>
    </row>
    <row r="75" spans="2:2">
      <c r="B75" s="452"/>
    </row>
    <row r="76" spans="2:2">
      <c r="B76" s="452"/>
    </row>
    <row r="77" spans="2:2">
      <c r="B77" s="452"/>
    </row>
    <row r="78" spans="2:2">
      <c r="B78" s="452"/>
    </row>
    <row r="79" spans="2:2">
      <c r="B79" s="452"/>
    </row>
    <row r="80" spans="2:2">
      <c r="B80" s="452"/>
    </row>
    <row r="81" spans="2:2">
      <c r="B81" s="452"/>
    </row>
    <row r="82" spans="2:2">
      <c r="B82" s="452"/>
    </row>
    <row r="83" spans="2:2">
      <c r="B83" s="452"/>
    </row>
    <row r="84" spans="2:2">
      <c r="B84" s="452"/>
    </row>
    <row r="85" spans="2:2">
      <c r="B85" s="452"/>
    </row>
    <row r="86" spans="2:2">
      <c r="B86" s="452"/>
    </row>
    <row r="87" spans="2:2">
      <c r="B87" s="452"/>
    </row>
    <row r="88" spans="2:2">
      <c r="B88" s="452"/>
    </row>
    <row r="89" spans="2:2">
      <c r="B89" s="452"/>
    </row>
    <row r="90" spans="2:2">
      <c r="B90" s="452"/>
    </row>
    <row r="91" spans="2:2">
      <c r="B91" s="452"/>
    </row>
    <row r="92" spans="2:2">
      <c r="B92" s="452"/>
    </row>
    <row r="93" spans="2:2">
      <c r="B93" s="452"/>
    </row>
    <row r="94" spans="2:2">
      <c r="B94" s="523" t="s">
        <v>393</v>
      </c>
    </row>
    <row r="95" spans="2:2">
      <c r="B95" s="523" t="s">
        <v>393</v>
      </c>
    </row>
    <row r="96" spans="2:2">
      <c r="B96" s="452"/>
    </row>
    <row r="97" spans="2:2">
      <c r="B97" s="452"/>
    </row>
    <row r="98" spans="2:2">
      <c r="B98" s="452"/>
    </row>
    <row r="99" spans="2:2">
      <c r="B99" s="452"/>
    </row>
    <row r="100" spans="2:2">
      <c r="B100" s="452"/>
    </row>
    <row r="101" spans="2:2">
      <c r="B101" s="523" t="s">
        <v>393</v>
      </c>
    </row>
    <row r="102" spans="2:2">
      <c r="B102" s="523" t="s">
        <v>393</v>
      </c>
    </row>
    <row r="103" spans="2:2">
      <c r="B103" s="523" t="s">
        <v>393</v>
      </c>
    </row>
    <row r="104" spans="2:2">
      <c r="B104" s="452"/>
    </row>
    <row r="105" spans="2:2">
      <c r="B105" s="452"/>
    </row>
    <row r="106" spans="2:2">
      <c r="B106" s="452"/>
    </row>
    <row r="107" spans="2:2">
      <c r="B107" s="452"/>
    </row>
    <row r="108" spans="2:2">
      <c r="B108" s="452"/>
    </row>
    <row r="109" spans="2:2">
      <c r="B109" s="452"/>
    </row>
    <row r="110" spans="2:2">
      <c r="B110" s="452"/>
    </row>
    <row r="111" spans="2:2">
      <c r="B111" s="452"/>
    </row>
    <row r="112" spans="2:2">
      <c r="B112" s="452"/>
    </row>
    <row r="113" spans="2:2">
      <c r="B113" s="452"/>
    </row>
    <row r="114" spans="2:2">
      <c r="B114" s="452"/>
    </row>
    <row r="115" spans="2:2">
      <c r="B115" s="452"/>
    </row>
    <row r="116" spans="2:2">
      <c r="B116" s="452"/>
    </row>
    <row r="117" spans="2:2">
      <c r="B117" s="452"/>
    </row>
    <row r="118" spans="2:2">
      <c r="B118" s="452"/>
    </row>
    <row r="119" spans="2:2">
      <c r="B119" s="452"/>
    </row>
    <row r="120" spans="2:2">
      <c r="B120" s="452"/>
    </row>
    <row r="121" spans="2:2">
      <c r="B121" s="452"/>
    </row>
    <row r="122" spans="2:2">
      <c r="B122" s="452"/>
    </row>
    <row r="123" spans="2:2">
      <c r="B123" s="452"/>
    </row>
    <row r="124" spans="2:2">
      <c r="B124" s="452"/>
    </row>
    <row r="125" spans="2:2">
      <c r="B125" s="452"/>
    </row>
    <row r="126" spans="2:2">
      <c r="B126" s="452"/>
    </row>
    <row r="127" spans="2:2">
      <c r="B127" s="452"/>
    </row>
    <row r="128" spans="2:2">
      <c r="B128" s="452"/>
    </row>
    <row r="129" spans="2:2">
      <c r="B129" s="452"/>
    </row>
    <row r="130" spans="2:2">
      <c r="B130" s="452"/>
    </row>
    <row r="131" spans="2:2">
      <c r="B131" s="452"/>
    </row>
    <row r="132" spans="2:2">
      <c r="B132" s="452"/>
    </row>
    <row r="133" spans="2:2">
      <c r="B133" s="452"/>
    </row>
    <row r="134" spans="2:2">
      <c r="B134" s="452"/>
    </row>
    <row r="135" spans="2:2">
      <c r="B135" s="452"/>
    </row>
    <row r="136" spans="2:2">
      <c r="B136" s="452"/>
    </row>
    <row r="137" spans="2:2">
      <c r="B137" s="452"/>
    </row>
    <row r="138" spans="2:2">
      <c r="B138" s="452"/>
    </row>
    <row r="139" spans="2:2">
      <c r="B139" s="452"/>
    </row>
    <row r="140" spans="2:2">
      <c r="B140" s="452"/>
    </row>
    <row r="141" spans="2:2">
      <c r="B141" s="452"/>
    </row>
    <row r="144" spans="2:2">
      <c r="B144" s="458"/>
    </row>
    <row r="145" spans="2:2">
      <c r="B145" s="458"/>
    </row>
    <row r="146" spans="2:2">
      <c r="B146" s="458"/>
    </row>
    <row r="147" spans="2:2">
      <c r="B147" s="458"/>
    </row>
    <row r="148" spans="2:2">
      <c r="B148" s="458"/>
    </row>
    <row r="149" spans="2:2">
      <c r="B149" s="458"/>
    </row>
    <row r="150" spans="2:2">
      <c r="B150" s="458"/>
    </row>
    <row r="151" spans="2:2">
      <c r="B151" s="458"/>
    </row>
    <row r="152" spans="2:2">
      <c r="B152" s="458"/>
    </row>
    <row r="153" spans="2:2">
      <c r="B153" s="458"/>
    </row>
    <row r="154" spans="2:2">
      <c r="B154" s="458"/>
    </row>
    <row r="155" spans="2:2">
      <c r="B155" s="458"/>
    </row>
    <row r="156" spans="2:2">
      <c r="B156" s="458"/>
    </row>
    <row r="157" spans="2:2">
      <c r="B157" s="458"/>
    </row>
    <row r="158" spans="2:2">
      <c r="B158" s="458"/>
    </row>
    <row r="159" spans="2:2">
      <c r="B159" s="458"/>
    </row>
    <row r="160" spans="2:2">
      <c r="B160" s="458"/>
    </row>
    <row r="161" spans="2:2">
      <c r="B161" s="458"/>
    </row>
    <row r="162" spans="2:2">
      <c r="B162" s="458"/>
    </row>
    <row r="163" spans="2:2">
      <c r="B163" s="458"/>
    </row>
    <row r="164" spans="2:2">
      <c r="B164" s="458"/>
    </row>
    <row r="165" spans="2:2">
      <c r="B165" s="458"/>
    </row>
    <row r="166" spans="2:2">
      <c r="B166" s="458"/>
    </row>
    <row r="167" spans="2:2">
      <c r="B167" s="458"/>
    </row>
    <row r="168" spans="2:2">
      <c r="B168" s="458"/>
    </row>
    <row r="169" spans="2:2">
      <c r="B169" s="458"/>
    </row>
    <row r="170" spans="2:2">
      <c r="B170" s="458"/>
    </row>
    <row r="171" spans="2:2">
      <c r="B171" s="458"/>
    </row>
    <row r="172" spans="2:2">
      <c r="B172" s="458"/>
    </row>
    <row r="173" spans="2:2">
      <c r="B173" s="458"/>
    </row>
    <row r="206" spans="2:2">
      <c r="B206" s="472" t="s">
        <v>393</v>
      </c>
    </row>
    <row r="210" spans="2:2">
      <c r="B210" s="472" t="s">
        <v>393</v>
      </c>
    </row>
    <row r="211" spans="2:2">
      <c r="B211" s="472" t="s">
        <v>393</v>
      </c>
    </row>
    <row r="212" spans="2:2">
      <c r="B212" s="472" t="s">
        <v>393</v>
      </c>
    </row>
    <row r="213" spans="2:2">
      <c r="B213" s="472" t="s">
        <v>393</v>
      </c>
    </row>
    <row r="214" spans="2:2">
      <c r="B214" s="472" t="s">
        <v>393</v>
      </c>
    </row>
    <row r="215" spans="2:2">
      <c r="B215" s="472" t="s">
        <v>393</v>
      </c>
    </row>
    <row r="216" spans="2:2">
      <c r="B216" s="472" t="s">
        <v>393</v>
      </c>
    </row>
    <row r="217" spans="2:2">
      <c r="B217" s="472" t="s">
        <v>393</v>
      </c>
    </row>
    <row r="218" spans="2:2">
      <c r="B218" s="472" t="s">
        <v>393</v>
      </c>
    </row>
    <row r="219" spans="2:2">
      <c r="B219" s="472" t="s">
        <v>393</v>
      </c>
    </row>
    <row r="400" spans="2:2">
      <c r="B400" s="472" t="s">
        <v>393</v>
      </c>
    </row>
    <row r="401" spans="2:2">
      <c r="B401" s="472" t="s">
        <v>393</v>
      </c>
    </row>
    <row r="402" spans="2:2">
      <c r="B402" s="472" t="s">
        <v>393</v>
      </c>
    </row>
    <row r="403" spans="2:2">
      <c r="B403" s="472" t="s">
        <v>393</v>
      </c>
    </row>
    <row r="404" spans="2:2">
      <c r="B404" s="472" t="s">
        <v>393</v>
      </c>
    </row>
    <row r="405" spans="2:2">
      <c r="B405" s="472" t="s">
        <v>393</v>
      </c>
    </row>
    <row r="406" spans="2:2">
      <c r="B406" s="472" t="s">
        <v>393</v>
      </c>
    </row>
    <row r="407" spans="2:2">
      <c r="B407" s="472" t="s">
        <v>393</v>
      </c>
    </row>
    <row r="408" spans="2:2">
      <c r="B408" s="472" t="s">
        <v>393</v>
      </c>
    </row>
    <row r="409" spans="2:2">
      <c r="B409" s="472" t="s">
        <v>393</v>
      </c>
    </row>
    <row r="410" spans="2:2">
      <c r="B410" s="472" t="s">
        <v>393</v>
      </c>
    </row>
    <row r="412" spans="2:2">
      <c r="B412" s="472" t="s">
        <v>393</v>
      </c>
    </row>
    <row r="413" spans="2:2">
      <c r="B413" s="472" t="s">
        <v>393</v>
      </c>
    </row>
    <row r="414" spans="2:2">
      <c r="B414" s="472" t="s">
        <v>393</v>
      </c>
    </row>
    <row r="415" spans="2:2">
      <c r="B415" s="472" t="s">
        <v>393</v>
      </c>
    </row>
    <row r="416" spans="2:2">
      <c r="B416" s="472" t="s">
        <v>393</v>
      </c>
    </row>
    <row r="492" spans="2:2">
      <c r="B492" s="472" t="s">
        <v>393</v>
      </c>
    </row>
    <row r="493" spans="2:2">
      <c r="B493" s="472" t="s">
        <v>393</v>
      </c>
    </row>
    <row r="494" spans="2:2">
      <c r="B494" s="472" t="s">
        <v>393</v>
      </c>
    </row>
    <row r="495" spans="2:2">
      <c r="B495" s="472" t="s">
        <v>393</v>
      </c>
    </row>
    <row r="502" spans="2:2">
      <c r="B502" s="472" t="s">
        <v>393</v>
      </c>
    </row>
    <row r="503" spans="2:2">
      <c r="B503" s="472" t="s">
        <v>393</v>
      </c>
    </row>
    <row r="504" spans="2:2">
      <c r="B504" s="472" t="s">
        <v>393</v>
      </c>
    </row>
    <row r="511" spans="2:2">
      <c r="B511" s="472" t="s">
        <v>393</v>
      </c>
    </row>
    <row r="583" spans="2:2">
      <c r="B583" s="472" t="s">
        <v>393</v>
      </c>
    </row>
    <row r="584" spans="2:2">
      <c r="B584" s="472" t="s">
        <v>393</v>
      </c>
    </row>
    <row r="585" spans="2:2">
      <c r="B585" s="472" t="s">
        <v>393</v>
      </c>
    </row>
  </sheetData>
  <sortState ref="A5:A10">
    <sortCondition ref="A5"/>
  </sortState>
  <dataValidations disablePrompts="1" count="2">
    <dataValidation type="list" showInputMessage="1" showErrorMessage="1" sqref="A2">
      <formula1>"1,2,3,4,5,6,6,7,9,10,11,12,34"</formula1>
    </dataValidation>
    <dataValidation type="list" allowBlank="1" showInputMessage="1" showErrorMessage="1" sqref="C5">
      <formula1>$H$10:$H$18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get_staiton">
                <anchor moveWithCells="1" sizeWithCells="1">
                  <from>
                    <xdr:col>2</xdr:col>
                    <xdr:colOff>104775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print="0" autoFill="0" autoPict="0" macro="[0]!clear_content">
                <anchor moveWithCells="1" sizeWithCells="1">
                  <from>
                    <xdr:col>3</xdr:col>
                    <xdr:colOff>552450</xdr:colOff>
                    <xdr:row>1</xdr:row>
                    <xdr:rowOff>28575</xdr:rowOff>
                  </from>
                  <to>
                    <xdr:col>5</xdr:col>
                    <xdr:colOff>142875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6" name="Button 7">
              <controlPr defaultSize="0" print="0" autoFill="0" autoPict="0" macro="[0]!pipeAct">
                <anchor moveWithCells="1" sizeWithCells="1">
                  <from>
                    <xdr:col>4</xdr:col>
                    <xdr:colOff>152400</xdr:colOff>
                    <xdr:row>3</xdr:row>
                    <xdr:rowOff>142875</xdr:rowOff>
                  </from>
                  <to>
                    <xdr:col>6</xdr:col>
                    <xdr:colOff>66675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7" name="Button 8">
              <controlPr defaultSize="0" print="0" autoFill="0" autoPict="0" macro="[0]!slabAct">
                <anchor moveWithCells="1" sizeWithCells="1">
                  <from>
                    <xdr:col>6</xdr:col>
                    <xdr:colOff>171450</xdr:colOff>
                    <xdr:row>3</xdr:row>
                    <xdr:rowOff>142875</xdr:rowOff>
                  </from>
                  <to>
                    <xdr:col>8</xdr:col>
                    <xdr:colOff>85725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8" name="Button 9">
              <controlPr defaultSize="0" print="0" autoFill="0" autoPict="0" macro="[0]!boxAct">
                <anchor moveWithCells="1" sizeWithCells="1">
                  <from>
                    <xdr:col>4</xdr:col>
                    <xdr:colOff>552450</xdr:colOff>
                    <xdr:row>5</xdr:row>
                    <xdr:rowOff>114300</xdr:rowOff>
                  </from>
                  <to>
                    <xdr:col>6</xdr:col>
                    <xdr:colOff>466725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9" name="Button 12">
              <controlPr defaultSize="0" print="0" autoFill="0" autoPict="0" macro="[0]!DeleteLayer">
                <anchor moveWithCells="1" sizeWithCells="1">
                  <from>
                    <xdr:col>5</xdr:col>
                    <xdr:colOff>390525</xdr:colOff>
                    <xdr:row>0</xdr:row>
                    <xdr:rowOff>180975</xdr:rowOff>
                  </from>
                  <to>
                    <xdr:col>7</xdr:col>
                    <xdr:colOff>190500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10" name="Button 15">
              <controlPr defaultSize="0" print="0" autoFill="0" autoPict="0" macro="[0]!go_to_Schedule">
                <anchor moveWithCells="1" sizeWithCells="1">
                  <from>
                    <xdr:col>4</xdr:col>
                    <xdr:colOff>542925</xdr:colOff>
                    <xdr:row>7</xdr:row>
                    <xdr:rowOff>95250</xdr:rowOff>
                  </from>
                  <to>
                    <xdr:col>6</xdr:col>
                    <xdr:colOff>457200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0" r:id="rId11" name="Spinner 18">
              <controlPr defaultSize="0" autoPict="0">
                <anchor moveWithCells="1" sizeWithCells="1">
                  <from>
                    <xdr:col>3</xdr:col>
                    <xdr:colOff>171450</xdr:colOff>
                    <xdr:row>4</xdr:row>
                    <xdr:rowOff>9525</xdr:rowOff>
                  </from>
                  <to>
                    <xdr:col>3</xdr:col>
                    <xdr:colOff>590550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A1:M60"/>
  <sheetViews>
    <sheetView tabSelected="1" zoomScale="85" zoomScaleNormal="85" workbookViewId="0">
      <pane xSplit="9390" topLeftCell="L1"/>
      <selection activeCell="F9" sqref="F9"/>
      <selection pane="topRight" activeCell="M14" sqref="M14"/>
    </sheetView>
  </sheetViews>
  <sheetFormatPr defaultRowHeight="12.75"/>
  <cols>
    <col min="1" max="1" width="8.7109375" customWidth="1"/>
    <col min="4" max="4" width="10.5703125" customWidth="1"/>
    <col min="5" max="5" width="14" customWidth="1"/>
    <col min="6" max="6" width="11.5703125" customWidth="1"/>
    <col min="7" max="7" width="10" customWidth="1"/>
    <col min="8" max="8" width="10.140625" customWidth="1"/>
  </cols>
  <sheetData>
    <row r="1" spans="1:13" ht="15.75" thickTop="1">
      <c r="A1" s="233">
        <v>0.2</v>
      </c>
      <c r="B1" s="233">
        <f>mov!C4</f>
        <v>-4.0000000000000009</v>
      </c>
      <c r="C1" s="6" t="s">
        <v>104</v>
      </c>
      <c r="D1" s="3"/>
      <c r="E1" s="2"/>
      <c r="F1" s="68"/>
      <c r="G1" s="68"/>
      <c r="H1" s="534" t="s">
        <v>81</v>
      </c>
      <c r="I1" s="535"/>
      <c r="J1" s="535"/>
      <c r="K1" s="535"/>
      <c r="L1" s="535"/>
      <c r="M1" s="536"/>
    </row>
    <row r="2" spans="1:13" ht="13.5" thickBot="1">
      <c r="A2" s="1"/>
      <c r="B2" s="5"/>
      <c r="C2" s="2"/>
      <c r="D2" s="3"/>
      <c r="E2" s="2"/>
      <c r="F2" s="68"/>
      <c r="G2" s="68"/>
      <c r="H2" s="537"/>
      <c r="I2" s="538"/>
      <c r="J2" s="538"/>
      <c r="K2" s="538"/>
      <c r="L2" s="538"/>
      <c r="M2" s="539"/>
    </row>
    <row r="3" spans="1:13" ht="13.5" thickTop="1">
      <c r="A3" s="1"/>
      <c r="B3" s="5"/>
      <c r="C3" s="2"/>
      <c r="D3" s="3"/>
      <c r="E3" s="2"/>
      <c r="F3" s="3"/>
      <c r="G3" s="3"/>
      <c r="H3" s="3"/>
      <c r="I3" s="3"/>
      <c r="J3" s="3"/>
      <c r="K3" s="3"/>
      <c r="L3" s="3"/>
      <c r="M3" s="4"/>
    </row>
    <row r="4" spans="1:13">
      <c r="A4" s="1"/>
      <c r="B4" s="5"/>
      <c r="C4" s="2"/>
      <c r="D4" s="3"/>
      <c r="E4" s="2"/>
      <c r="F4" s="3"/>
      <c r="G4" s="3"/>
      <c r="H4" s="3"/>
      <c r="I4" s="3"/>
      <c r="J4" s="3"/>
      <c r="K4" s="3"/>
      <c r="L4" s="3"/>
      <c r="M4" s="4"/>
    </row>
    <row r="5" spans="1:13">
      <c r="A5" s="1"/>
      <c r="B5" s="5"/>
      <c r="C5" s="2"/>
      <c r="D5" s="3"/>
      <c r="E5" s="2"/>
      <c r="F5" s="68"/>
      <c r="G5" s="3"/>
      <c r="H5" s="3"/>
      <c r="I5" s="3"/>
      <c r="J5" s="3"/>
      <c r="K5" s="3"/>
      <c r="L5" s="3"/>
      <c r="M5" s="4"/>
    </row>
    <row r="6" spans="1:13" ht="15">
      <c r="A6" s="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7"/>
    </row>
    <row r="7" spans="1:13">
      <c r="A7" s="1"/>
      <c r="B7" s="8" t="s">
        <v>27</v>
      </c>
      <c r="C7" s="9"/>
      <c r="D7" s="209" t="s">
        <v>78</v>
      </c>
      <c r="E7" s="70" t="s">
        <v>425</v>
      </c>
      <c r="F7" s="26"/>
      <c r="G7" s="3"/>
      <c r="H7" s="17" t="str">
        <f>CONCATENATE(B7,"---------- ",TEXT(E7,"0+000"))</f>
        <v>Chainage---------- STA 01</v>
      </c>
      <c r="I7" s="18"/>
      <c r="J7" s="18"/>
      <c r="K7" s="19"/>
      <c r="L7" s="3"/>
      <c r="M7" s="4"/>
    </row>
    <row r="8" spans="1:13">
      <c r="A8" s="1"/>
      <c r="B8" s="10" t="s">
        <v>176</v>
      </c>
      <c r="C8" s="4"/>
      <c r="D8" s="209" t="s">
        <v>78</v>
      </c>
      <c r="E8" s="235" t="s">
        <v>7</v>
      </c>
      <c r="F8" s="27"/>
      <c r="G8" s="3"/>
      <c r="H8" s="20" t="str">
        <f>CONCATENATE(B8,"------ ",E8)</f>
        <v>Structure End Wall------ RCP</v>
      </c>
      <c r="I8" s="21"/>
      <c r="J8" s="21"/>
      <c r="K8" s="22"/>
      <c r="L8" s="3"/>
      <c r="M8" s="4"/>
    </row>
    <row r="9" spans="1:13">
      <c r="A9" s="1"/>
      <c r="B9" s="10" t="s">
        <v>29</v>
      </c>
      <c r="C9" s="4"/>
      <c r="D9" s="209" t="s">
        <v>78</v>
      </c>
      <c r="E9" s="234" t="str">
        <f>IF([1]main!$J$6=1,"Single",IF([1]main!$J$6=2,"Double",IF([1]main!$J$6=3,"Triple")))&amp;" "&amp;[1]main!$B$5&amp; " inch"</f>
        <v>Single 48 inch</v>
      </c>
      <c r="F9" s="238"/>
      <c r="G9" s="3"/>
      <c r="H9" s="20" t="str">
        <f>CONCATENATE(B9,"---------- ",E9)</f>
        <v>Pipe Size---------- Single 48 inch</v>
      </c>
      <c r="I9" s="21"/>
      <c r="J9" s="21"/>
      <c r="K9" s="22"/>
      <c r="L9" s="3"/>
      <c r="M9" s="4"/>
    </row>
    <row r="10" spans="1:13">
      <c r="A10" s="1"/>
      <c r="B10" s="10" t="s">
        <v>30</v>
      </c>
      <c r="C10" s="4"/>
      <c r="D10" s="209" t="s">
        <v>78</v>
      </c>
      <c r="E10" s="239">
        <f>F41</f>
        <v>219.51</v>
      </c>
      <c r="F10" s="27"/>
      <c r="G10" s="3"/>
      <c r="H10" s="20" t="str">
        <f>CONCATENATE(B10,"-------- ",E10,"m")</f>
        <v>Invert Level-------- 219.51m</v>
      </c>
      <c r="I10" s="21"/>
      <c r="J10" s="21"/>
      <c r="K10" s="22"/>
      <c r="L10" s="3"/>
      <c r="M10" s="4"/>
    </row>
    <row r="11" spans="1:13">
      <c r="A11" s="1"/>
      <c r="B11" s="10" t="s">
        <v>31</v>
      </c>
      <c r="C11" s="4"/>
      <c r="D11" s="209" t="s">
        <v>78</v>
      </c>
      <c r="E11" s="240" t="str">
        <f>IF([1]main!$D$4&gt;0,"L","R")</f>
        <v>L</v>
      </c>
      <c r="F11" s="27"/>
      <c r="G11" s="3"/>
      <c r="H11" s="20" t="str">
        <f>CONCATENATE(B11,"------- ",E11)</f>
        <v>Flow Direction------- L</v>
      </c>
      <c r="I11" s="21"/>
      <c r="J11" s="21"/>
      <c r="K11" s="22"/>
      <c r="L11" s="3"/>
      <c r="M11" s="4"/>
    </row>
    <row r="12" spans="1:13">
      <c r="A12" s="1"/>
      <c r="B12" s="10" t="s">
        <v>32</v>
      </c>
      <c r="C12" s="4"/>
      <c r="D12" s="209" t="s">
        <v>78</v>
      </c>
      <c r="E12" s="242">
        <f>ABS([1]main!$D$4)</f>
        <v>0.73</v>
      </c>
      <c r="F12" s="27"/>
      <c r="G12" s="3"/>
      <c r="H12" s="20" t="str">
        <f>CONCATENATE(B12,"-------  ",E12,"%")</f>
        <v>Invert Slope-------  0.73%</v>
      </c>
      <c r="I12" s="21"/>
      <c r="J12" s="21"/>
      <c r="K12" s="22"/>
      <c r="L12" s="3"/>
      <c r="M12" s="4"/>
    </row>
    <row r="13" spans="1:13">
      <c r="A13" s="1"/>
      <c r="B13" s="10" t="s">
        <v>33</v>
      </c>
      <c r="C13" s="4"/>
      <c r="D13" s="209" t="s">
        <v>78</v>
      </c>
      <c r="E13" s="243">
        <f>F37</f>
        <v>21.46</v>
      </c>
      <c r="F13" s="27"/>
      <c r="G13" s="3"/>
      <c r="H13" s="20" t="str">
        <f>CONCATENATE(B13,"-------- ",E13,"m")</f>
        <v>Pipe Length-------- 21.46m</v>
      </c>
      <c r="I13" s="21"/>
      <c r="J13" s="21"/>
      <c r="K13" s="22"/>
      <c r="L13" s="3"/>
      <c r="M13" s="4"/>
    </row>
    <row r="14" spans="1:13">
      <c r="A14" s="1"/>
      <c r="B14" s="10" t="s">
        <v>34</v>
      </c>
      <c r="C14" s="4"/>
      <c r="D14" s="209" t="s">
        <v>78</v>
      </c>
      <c r="E14" s="237" t="str">
        <f>TRIM(IF([1]main!$D$7="C","Type",IF([1]main!$D$7="I","Type",IF([1]main!$D$7="A","Type",IF([1]main!$D$7="B","Type",""))))&amp;" "&amp;[1]main!$D$7&amp;" "&amp;IF([1]main!$D$7="C","End Wall",IF([1]main!$D$7="I","End Wall",IF([1]main!$D$7="A","End Wall",IF([1]main!$D$7="B","End Wall","")))))</f>
        <v>Type C End Wall</v>
      </c>
      <c r="F14" s="238"/>
      <c r="G14" s="3"/>
      <c r="H14" s="20" t="str">
        <f>CONCATENATE(B14,"---- ",E14)</f>
        <v>LHS End Structure---- Type C End Wall</v>
      </c>
      <c r="I14" s="21"/>
      <c r="J14" s="21"/>
      <c r="K14" s="22"/>
      <c r="L14" s="3"/>
      <c r="M14" s="4"/>
    </row>
    <row r="15" spans="1:13">
      <c r="A15" s="1"/>
      <c r="B15" s="10" t="s">
        <v>35</v>
      </c>
      <c r="C15" s="4"/>
      <c r="D15" s="209" t="s">
        <v>78</v>
      </c>
      <c r="E15" s="237" t="str">
        <f>TRIM(IF([1]main!$G$7="C","Type",IF([1]main!$G$7="I","Type",IF([1]main!$G$7="A","Type",IF([1]main!$G$7="B","Type",""))))&amp;" "&amp;[1]main!$G$7&amp;" "&amp;IF([1]main!$G$7="C","End Wall",IF([1]main!$G$7="I","End Wall",IF([1]main!$G$7="A","End Wall",IF([1]main!$G$7="B","End Wall","")))))</f>
        <v>Type C End Wall</v>
      </c>
      <c r="F15" s="238"/>
      <c r="G15" s="3"/>
      <c r="H15" s="20" t="str">
        <f>CONCATENATE(B15,"---- ",E15)</f>
        <v>RHS End Structure---- Type C End Wall</v>
      </c>
      <c r="I15" s="21"/>
      <c r="J15" s="21"/>
      <c r="K15" s="22"/>
      <c r="L15" s="3"/>
      <c r="M15" s="4"/>
    </row>
    <row r="16" spans="1:13">
      <c r="A16" s="1"/>
      <c r="B16" s="11" t="s">
        <v>36</v>
      </c>
      <c r="C16" s="12"/>
      <c r="D16" s="209" t="s">
        <v>78</v>
      </c>
      <c r="E16" s="93">
        <v>0</v>
      </c>
      <c r="F16" s="28"/>
      <c r="G16" s="3"/>
      <c r="H16" s="23" t="str">
        <f>CONCATENATE(B16,"--------- ",E16," Degree")</f>
        <v>Skew Ang--------- 0 Degree</v>
      </c>
      <c r="I16" s="24"/>
      <c r="J16" s="24"/>
      <c r="K16" s="25"/>
      <c r="L16" s="3"/>
      <c r="M16" s="4"/>
    </row>
    <row r="17" spans="1:13">
      <c r="A17" s="1"/>
      <c r="B17" s="5"/>
      <c r="C17" s="2"/>
      <c r="D17" s="3"/>
      <c r="E17" s="2"/>
      <c r="F17" s="3"/>
      <c r="G17" s="3"/>
      <c r="H17" s="3"/>
      <c r="I17" s="3"/>
      <c r="J17" s="3"/>
      <c r="K17" s="3"/>
      <c r="L17" s="3"/>
      <c r="M17" s="4"/>
    </row>
    <row r="18" spans="1:13">
      <c r="A18" s="1"/>
      <c r="B18" s="2"/>
      <c r="C18" s="2"/>
      <c r="D18" s="3"/>
      <c r="E18" s="2"/>
      <c r="F18" s="3"/>
      <c r="G18" s="3"/>
      <c r="H18" s="3"/>
      <c r="I18" s="3"/>
      <c r="J18" s="3"/>
      <c r="K18" s="3"/>
      <c r="L18" s="3"/>
      <c r="M18" s="4"/>
    </row>
    <row r="19" spans="1:13">
      <c r="A19" s="1"/>
      <c r="B19" s="5"/>
      <c r="C19" s="2"/>
      <c r="D19" s="5"/>
      <c r="E19" s="5"/>
      <c r="F19" s="5"/>
      <c r="G19" s="3"/>
      <c r="H19" s="3"/>
      <c r="I19" s="17" t="str">
        <f>CONCATENATE("    Estimated Quantities [at ",TEXT(E7,"0+000"),"]")</f>
        <v xml:space="preserve">    Estimated Quantities [at STA 01]</v>
      </c>
      <c r="J19" s="18"/>
      <c r="K19" s="18"/>
      <c r="L19" s="18"/>
      <c r="M19" s="19"/>
    </row>
    <row r="20" spans="1:13">
      <c r="A20" s="1"/>
      <c r="B20" s="13" t="s">
        <v>3</v>
      </c>
      <c r="C20" s="14"/>
      <c r="D20" s="15"/>
      <c r="E20" s="3"/>
      <c r="F20" s="29" t="s">
        <v>1</v>
      </c>
      <c r="G20" s="235"/>
      <c r="H20" s="3"/>
      <c r="I20" s="20" t="s">
        <v>20</v>
      </c>
      <c r="J20" s="21"/>
      <c r="K20" s="21"/>
      <c r="L20" s="21"/>
      <c r="M20" s="22"/>
    </row>
    <row r="21" spans="1:13">
      <c r="A21" s="1"/>
      <c r="B21" s="10" t="s">
        <v>21</v>
      </c>
      <c r="C21" s="2"/>
      <c r="D21" s="4"/>
      <c r="E21" s="209" t="s">
        <v>79</v>
      </c>
      <c r="F21" s="218">
        <f>ROUND(SUM(Schedule!AE7:AF7),2)</f>
        <v>0</v>
      </c>
      <c r="G21" s="518"/>
      <c r="H21" s="3"/>
      <c r="I21" s="71" t="str">
        <f>CONCATENATE(B21,"----------- ",F21,"m3")</f>
        <v>Structural Excavation----------- 0m3</v>
      </c>
      <c r="J21" s="21"/>
      <c r="K21" s="21"/>
      <c r="L21" s="21"/>
      <c r="M21" s="22"/>
    </row>
    <row r="22" spans="1:13">
      <c r="A22" s="1"/>
      <c r="B22" s="10" t="s">
        <v>22</v>
      </c>
      <c r="C22" s="2"/>
      <c r="D22" s="4"/>
      <c r="E22" s="209" t="s">
        <v>79</v>
      </c>
      <c r="F22" s="218">
        <f>ROUND(Schedule!AG7,2)</f>
        <v>0</v>
      </c>
      <c r="G22" s="518"/>
      <c r="H22" s="3"/>
      <c r="I22" s="71" t="str">
        <f>CONCATENATE(B22,"------------ ",F22,"m3")</f>
        <v>Channel Excavation------------ 0m3</v>
      </c>
      <c r="J22" s="21"/>
      <c r="K22" s="21"/>
      <c r="L22" s="21"/>
      <c r="M22" s="22"/>
    </row>
    <row r="23" spans="1:13">
      <c r="A23" s="1"/>
      <c r="B23" s="10" t="s">
        <v>23</v>
      </c>
      <c r="C23" s="2"/>
      <c r="D23" s="4"/>
      <c r="E23" s="209" t="s">
        <v>79</v>
      </c>
      <c r="F23" s="218">
        <f>ROUND(SUM(Schedule!AH7:AI7),2)</f>
        <v>6.66</v>
      </c>
      <c r="G23" s="518"/>
      <c r="H23" s="3"/>
      <c r="I23" s="20" t="str">
        <f>CONCATENATE(B23,"-------------------- ",F23,"m3")</f>
        <v>Backfill-------------------- 6.66m3</v>
      </c>
      <c r="J23" s="21"/>
      <c r="K23" s="21"/>
      <c r="L23" s="21"/>
      <c r="M23" s="22"/>
    </row>
    <row r="24" spans="1:13">
      <c r="A24" s="1"/>
      <c r="B24" s="10" t="s">
        <v>24</v>
      </c>
      <c r="C24" s="2"/>
      <c r="D24" s="4"/>
      <c r="E24" s="209" t="s">
        <v>79</v>
      </c>
      <c r="F24" s="218" t="e">
        <f>ROUND(Schedule!BB7,2)</f>
        <v>#REF!</v>
      </c>
      <c r="G24" s="518"/>
      <c r="H24" s="3"/>
      <c r="I24" s="20" t="e">
        <f>CONCATENATE(B24,"--- ",F24,"m3")</f>
        <v>#REF!</v>
      </c>
      <c r="J24" s="21"/>
      <c r="K24" s="21"/>
      <c r="L24" s="21"/>
      <c r="M24" s="22"/>
    </row>
    <row r="25" spans="1:13">
      <c r="A25" s="1"/>
      <c r="B25" s="10" t="s">
        <v>25</v>
      </c>
      <c r="C25" s="2"/>
      <c r="D25" s="4"/>
      <c r="E25" s="209" t="s">
        <v>79</v>
      </c>
      <c r="F25" s="42" t="e">
        <f>ROUND(Schedule!BC7,2)</f>
        <v>#REF!</v>
      </c>
      <c r="G25" s="518"/>
      <c r="H25" s="3"/>
      <c r="I25" s="20" t="e">
        <f>CONCATENATE(B25,"----------- ",F25,"m2")</f>
        <v>#REF!</v>
      </c>
      <c r="J25" s="21"/>
      <c r="K25" s="21"/>
      <c r="L25" s="21"/>
      <c r="M25" s="22"/>
    </row>
    <row r="26" spans="1:13">
      <c r="A26" s="1"/>
      <c r="B26" s="10" t="s">
        <v>26</v>
      </c>
      <c r="C26" s="2"/>
      <c r="D26" s="4"/>
      <c r="E26" s="209" t="s">
        <v>79</v>
      </c>
      <c r="F26" s="218" t="e">
        <f>ROUND(Schedule!BB7,2)</f>
        <v>#REF!</v>
      </c>
      <c r="G26" s="518"/>
      <c r="H26" s="3"/>
      <c r="I26" s="20" t="e">
        <f>CONCATENATE(B26,"------------- ",ROUND(F26,2),"m3")</f>
        <v>#REF!</v>
      </c>
      <c r="J26" s="21"/>
      <c r="K26" s="21"/>
      <c r="L26" s="21"/>
      <c r="M26" s="22"/>
    </row>
    <row r="27" spans="1:13">
      <c r="A27" s="1"/>
      <c r="B27" s="10" t="s">
        <v>160</v>
      </c>
      <c r="C27" s="2"/>
      <c r="D27" s="4"/>
      <c r="E27" s="209" t="s">
        <v>79</v>
      </c>
      <c r="F27" s="250" t="e">
        <f>ROUND(Schedule!BD7,2)</f>
        <v>#REF!</v>
      </c>
      <c r="G27" s="518"/>
      <c r="H27" s="3"/>
      <c r="I27" s="20" t="e">
        <f>CONCATENATE(B27,"------------- ",ROUND(F27,2),"m3")</f>
        <v>#REF!</v>
      </c>
      <c r="J27" s="21"/>
      <c r="K27" s="21"/>
      <c r="L27" s="21"/>
      <c r="M27" s="22"/>
    </row>
    <row r="28" spans="1:13">
      <c r="A28" s="1"/>
      <c r="B28" s="11" t="s">
        <v>90</v>
      </c>
      <c r="C28" s="16"/>
      <c r="D28" s="12"/>
      <c r="E28" s="209" t="s">
        <v>79</v>
      </c>
      <c r="F28" s="219">
        <f>ROUNDUP(F37,1)</f>
        <v>21.5</v>
      </c>
      <c r="G28" s="519"/>
      <c r="H28" s="3"/>
      <c r="I28" s="23" t="str">
        <f>CONCATENATE(B28,"------------- ",F28,"m")</f>
        <v>Concrete Pipes------------- 21.5m</v>
      </c>
      <c r="J28" s="24"/>
      <c r="K28" s="24"/>
      <c r="L28" s="24"/>
      <c r="M28" s="25"/>
    </row>
    <row r="29" spans="1:13">
      <c r="A29" s="63"/>
      <c r="B29" s="64"/>
      <c r="C29" s="16"/>
      <c r="D29" s="65"/>
      <c r="E29" s="16"/>
      <c r="F29" s="65"/>
      <c r="G29" s="65"/>
      <c r="H29" s="65"/>
      <c r="I29" s="65"/>
      <c r="J29" s="65"/>
      <c r="K29" s="65"/>
      <c r="L29" s="65"/>
      <c r="M29" s="12"/>
    </row>
    <row r="31" spans="1:13">
      <c r="H31" s="540" t="s">
        <v>37</v>
      </c>
      <c r="I31" s="541"/>
    </row>
    <row r="32" spans="1:13">
      <c r="C32" s="533" t="s">
        <v>8</v>
      </c>
      <c r="D32" s="533"/>
      <c r="E32" s="32" t="s">
        <v>16</v>
      </c>
      <c r="F32" s="32"/>
      <c r="H32" s="32" t="s">
        <v>38</v>
      </c>
      <c r="I32" s="32">
        <v>22.3</v>
      </c>
    </row>
    <row r="33" spans="3:9">
      <c r="C33" s="30" t="s">
        <v>9</v>
      </c>
      <c r="D33" s="225">
        <f>[1]main!$C$29</f>
        <v>960.22013460959067</v>
      </c>
      <c r="E33" s="32" t="s">
        <v>17</v>
      </c>
      <c r="F33" s="201">
        <f>[1]main!$C$37</f>
        <v>971.08721545599292</v>
      </c>
      <c r="H33" s="32" t="s">
        <v>39</v>
      </c>
      <c r="I33" s="32">
        <v>11</v>
      </c>
    </row>
    <row r="34" spans="3:9">
      <c r="C34" s="32" t="s">
        <v>10</v>
      </c>
      <c r="D34" s="38">
        <f>[1]main!$C$30</f>
        <v>-30375.572745502668</v>
      </c>
      <c r="E34" s="32" t="s">
        <v>18</v>
      </c>
      <c r="F34" s="32">
        <f>[1]main!$C$38</f>
        <v>-30374.363073190169</v>
      </c>
    </row>
    <row r="35" spans="3:9">
      <c r="C35" s="33"/>
      <c r="D35" s="31"/>
      <c r="H35" s="92" t="s">
        <v>156</v>
      </c>
    </row>
    <row r="36" spans="3:9">
      <c r="C36" s="32" t="s">
        <v>11</v>
      </c>
      <c r="D36" s="201">
        <f>[1]main!$C$32</f>
        <v>981.68054468002526</v>
      </c>
      <c r="F36" s="32" t="s">
        <v>19</v>
      </c>
      <c r="H36" t="s">
        <v>91</v>
      </c>
    </row>
    <row r="37" spans="3:9">
      <c r="C37" s="32" t="s">
        <v>12</v>
      </c>
      <c r="D37" s="32">
        <f>[1]main!$C$30</f>
        <v>-30375.572745502668</v>
      </c>
      <c r="F37" s="32">
        <f>ROUND(D36-D33,2)</f>
        <v>21.46</v>
      </c>
      <c r="H37" t="s">
        <v>77</v>
      </c>
    </row>
    <row r="38" spans="3:9">
      <c r="H38" t="s">
        <v>80</v>
      </c>
    </row>
    <row r="40" spans="3:9">
      <c r="C40" s="533" t="s">
        <v>13</v>
      </c>
      <c r="D40" s="533"/>
      <c r="F40" s="32">
        <v>-23171.19</v>
      </c>
      <c r="H40" s="36" t="s">
        <v>177</v>
      </c>
    </row>
    <row r="41" spans="3:9">
      <c r="C41" s="30" t="s">
        <v>9</v>
      </c>
      <c r="D41" s="226">
        <f>[1]main!$C$37</f>
        <v>971.08721545599292</v>
      </c>
      <c r="F41" s="32">
        <v>219.51</v>
      </c>
      <c r="H41" s="30" t="s">
        <v>66</v>
      </c>
    </row>
    <row r="42" spans="3:9">
      <c r="C42" s="32" t="s">
        <v>10</v>
      </c>
      <c r="D42" s="227">
        <f>[1]main!$C$38</f>
        <v>-30374.363073190169</v>
      </c>
      <c r="H42" s="30" t="s">
        <v>66</v>
      </c>
      <c r="I42" s="69"/>
    </row>
    <row r="43" spans="3:9">
      <c r="C43" s="33"/>
      <c r="D43" s="31"/>
      <c r="I43" s="69"/>
    </row>
    <row r="44" spans="3:9">
      <c r="C44" s="33"/>
      <c r="D44" s="31"/>
      <c r="I44" s="69"/>
    </row>
    <row r="45" spans="3:9">
      <c r="C45" s="533" t="s">
        <v>14</v>
      </c>
      <c r="D45" s="533"/>
      <c r="F45" s="66" t="s">
        <v>168</v>
      </c>
      <c r="G45" s="67"/>
    </row>
    <row r="46" spans="3:9">
      <c r="C46" s="30" t="s">
        <v>9</v>
      </c>
      <c r="D46" s="223">
        <f>[1]main!$C$42</f>
        <v>981.68054468002526</v>
      </c>
      <c r="F46" s="32">
        <v>0.3</v>
      </c>
      <c r="G46" s="32">
        <v>0.3</v>
      </c>
    </row>
    <row r="47" spans="3:9">
      <c r="C47" s="32" t="s">
        <v>10</v>
      </c>
      <c r="D47" s="224">
        <f>[1]main!$C$43</f>
        <v>-30374.285407895481</v>
      </c>
      <c r="F47" s="32">
        <v>11.1670808464022</v>
      </c>
      <c r="G47" s="32">
        <v>10.8933292240323</v>
      </c>
    </row>
    <row r="48" spans="3:9">
      <c r="C48" s="33"/>
      <c r="D48" s="31"/>
    </row>
    <row r="49" spans="3:6">
      <c r="C49" s="533" t="s">
        <v>15</v>
      </c>
      <c r="D49" s="533"/>
      <c r="F49" s="32" t="s">
        <v>87</v>
      </c>
    </row>
    <row r="50" spans="3:6">
      <c r="C50" s="30" t="s">
        <v>9</v>
      </c>
      <c r="D50" s="223">
        <f>[1]main!$C$46</f>
        <v>960.22013460959067</v>
      </c>
      <c r="F50" s="32">
        <f>ABS(ABS(D60)-ABS(D56))</f>
        <v>0.34036695325630717</v>
      </c>
    </row>
    <row r="51" spans="3:6">
      <c r="C51" s="32" t="s">
        <v>10</v>
      </c>
      <c r="D51" s="224">
        <f>[1]main!$C$47</f>
        <v>-30374.442745502667</v>
      </c>
    </row>
    <row r="52" spans="3:6">
      <c r="C52" s="35"/>
      <c r="D52" s="34"/>
    </row>
    <row r="54" spans="3:6">
      <c r="C54" s="533" t="s">
        <v>88</v>
      </c>
      <c r="D54" s="533"/>
    </row>
    <row r="55" spans="3:6">
      <c r="C55" s="32" t="s">
        <v>9</v>
      </c>
      <c r="D55" s="32">
        <f>[1]main!$B$50</f>
        <v>971.08721545599292</v>
      </c>
    </row>
    <row r="56" spans="3:6">
      <c r="C56" s="32" t="s">
        <v>10</v>
      </c>
      <c r="D56" s="32">
        <f>[1]main!$C$50</f>
        <v>-30373.043073190169</v>
      </c>
    </row>
    <row r="58" spans="3:6">
      <c r="C58" s="533" t="s">
        <v>89</v>
      </c>
      <c r="D58" s="533"/>
    </row>
    <row r="59" spans="3:6">
      <c r="C59" s="32" t="s">
        <v>9</v>
      </c>
      <c r="D59" s="32">
        <f>[1]main!$B$54</f>
        <v>971.08721545599292</v>
      </c>
    </row>
    <row r="60" spans="3:6">
      <c r="C60" s="32" t="s">
        <v>10</v>
      </c>
      <c r="D60" s="32">
        <f>[1]main!$C$54</f>
        <v>-30372.702706236912</v>
      </c>
    </row>
  </sheetData>
  <sheetProtection formatCells="0" formatColumns="0" formatRows="0" sort="0" autoFilter="0" pivotTables="0"/>
  <mergeCells count="8">
    <mergeCell ref="C54:D54"/>
    <mergeCell ref="C58:D58"/>
    <mergeCell ref="H1:M2"/>
    <mergeCell ref="C32:D32"/>
    <mergeCell ref="C40:D40"/>
    <mergeCell ref="C45:D45"/>
    <mergeCell ref="C49:D49"/>
    <mergeCell ref="H31:I31"/>
  </mergeCells>
  <dataValidations count="1">
    <dataValidation type="list" allowBlank="1" showInputMessage="1" showErrorMessage="1" sqref="A1">
      <formula1>"0.05,0.1,0.15,0.2,0.25,0.3"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4" name="Button 11">
              <controlPr defaultSize="0" print="0" autoFill="0" autoPict="0" macro="[0]!grid">
                <anchor moveWithCells="1" sizeWithCells="1">
                  <from>
                    <xdr:col>6</xdr:col>
                    <xdr:colOff>657225</xdr:colOff>
                    <xdr:row>3</xdr:row>
                    <xdr:rowOff>19050</xdr:rowOff>
                  </from>
                  <to>
                    <xdr:col>8</xdr:col>
                    <xdr:colOff>190500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5" name="Button 13">
              <controlPr defaultSize="0" print="0" autoFill="0" autoPict="0" macro="[0]!mov_Pipe">
                <anchor moveWithCells="1" sizeWithCells="1">
                  <from>
                    <xdr:col>2</xdr:col>
                    <xdr:colOff>381000</xdr:colOff>
                    <xdr:row>2</xdr:row>
                    <xdr:rowOff>152400</xdr:rowOff>
                  </from>
                  <to>
                    <xdr:col>3</xdr:col>
                    <xdr:colOff>590550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" name="Button 14">
              <controlPr defaultSize="0" print="0" autoFill="0" autoPict="0" macro="[0]!draw_pipe">
                <anchor moveWithCells="1" sizeWithCells="1">
                  <from>
                    <xdr:col>0</xdr:col>
                    <xdr:colOff>152400</xdr:colOff>
                    <xdr:row>3</xdr:row>
                    <xdr:rowOff>28575</xdr:rowOff>
                  </from>
                  <to>
                    <xdr:col>1</xdr:col>
                    <xdr:colOff>371475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Button 15">
              <controlPr defaultSize="0" print="0" autoFill="0" autoPict="0" macro="[0]!excavation">
                <anchor moveWithCells="1" sizeWithCells="1">
                  <from>
                    <xdr:col>4</xdr:col>
                    <xdr:colOff>600075</xdr:colOff>
                    <xdr:row>3</xdr:row>
                    <xdr:rowOff>28575</xdr:rowOff>
                  </from>
                  <to>
                    <xdr:col>5</xdr:col>
                    <xdr:colOff>676275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8" name="Button 20">
              <controlPr defaultSize="0" print="0" autoFill="0" autoPict="0" macro="[0]!add_qty_Sch">
                <anchor moveWithCells="1" sizeWithCells="1">
                  <from>
                    <xdr:col>9</xdr:col>
                    <xdr:colOff>266700</xdr:colOff>
                    <xdr:row>3</xdr:row>
                    <xdr:rowOff>38100</xdr:rowOff>
                  </from>
                  <to>
                    <xdr:col>10</xdr:col>
                    <xdr:colOff>476250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9" name="Button 21">
              <controlPr defaultSize="0" print="0" autoFill="0" autoPict="0" macro="[0]!clearQty_sch">
                <anchor moveWithCells="1" sizeWithCells="1">
                  <from>
                    <xdr:col>10</xdr:col>
                    <xdr:colOff>581025</xdr:colOff>
                    <xdr:row>7</xdr:row>
                    <xdr:rowOff>114300</xdr:rowOff>
                  </from>
                  <to>
                    <xdr:col>12</xdr:col>
                    <xdr:colOff>190500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draw_pipe">
                <anchor moveWithCells="1" sizeWithCells="1">
                  <from>
                    <xdr:col>3</xdr:col>
                    <xdr:colOff>533400</xdr:colOff>
                    <xdr:row>0</xdr:row>
                    <xdr:rowOff>57150</xdr:rowOff>
                  </from>
                  <to>
                    <xdr:col>5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1" name="Button 24">
              <controlPr defaultSize="0" print="0" autoFill="0" autoPict="0" macro="[0]!DeleteLayer">
                <anchor moveWithCells="1" sizeWithCells="1">
                  <from>
                    <xdr:col>11</xdr:col>
                    <xdr:colOff>390525</xdr:colOff>
                    <xdr:row>3</xdr:row>
                    <xdr:rowOff>19050</xdr:rowOff>
                  </from>
                  <to>
                    <xdr:col>12</xdr:col>
                    <xdr:colOff>571500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-0.249977111117893"/>
  </sheetPr>
  <dimension ref="A1:N37"/>
  <sheetViews>
    <sheetView zoomScale="85" zoomScaleNormal="85" workbookViewId="0">
      <selection activeCell="E12" sqref="E12"/>
    </sheetView>
  </sheetViews>
  <sheetFormatPr defaultRowHeight="12.75"/>
  <cols>
    <col min="4" max="4" width="10.5703125" customWidth="1"/>
    <col min="5" max="5" width="13.5703125" customWidth="1"/>
    <col min="12" max="12" width="8.140625" customWidth="1"/>
  </cols>
  <sheetData>
    <row r="1" spans="1:14">
      <c r="A1" s="233" t="s">
        <v>175</v>
      </c>
      <c r="B1" s="2"/>
      <c r="C1" s="2"/>
      <c r="D1" s="3"/>
      <c r="E1" s="2" t="s">
        <v>170</v>
      </c>
      <c r="F1" s="3"/>
      <c r="G1" s="3"/>
      <c r="H1" s="3"/>
      <c r="I1" s="542" t="s">
        <v>44</v>
      </c>
      <c r="J1" s="543"/>
      <c r="K1" s="543"/>
      <c r="L1" s="543"/>
      <c r="M1" s="543"/>
      <c r="N1" s="544"/>
    </row>
    <row r="2" spans="1:14" ht="13.5" thickBot="1">
      <c r="A2" s="233" t="s">
        <v>127</v>
      </c>
      <c r="B2" s="5"/>
      <c r="C2" s="2"/>
      <c r="D2" s="3"/>
      <c r="E2" s="68"/>
      <c r="F2" s="68"/>
      <c r="G2" s="68"/>
      <c r="H2" s="3"/>
      <c r="I2" s="537"/>
      <c r="J2" s="538"/>
      <c r="K2" s="538"/>
      <c r="L2" s="538"/>
      <c r="M2" s="538"/>
      <c r="N2" s="539"/>
    </row>
    <row r="3" spans="1:14" ht="13.5" thickTop="1">
      <c r="A3" s="1"/>
      <c r="B3" s="5"/>
      <c r="C3" s="2"/>
      <c r="D3" s="3"/>
      <c r="E3" s="68"/>
      <c r="F3" s="68"/>
      <c r="G3" s="68"/>
      <c r="H3" s="3"/>
      <c r="I3" s="3"/>
      <c r="J3" s="3"/>
      <c r="K3" s="3"/>
      <c r="L3" s="3"/>
      <c r="M3" s="3"/>
      <c r="N3" s="3"/>
    </row>
    <row r="4" spans="1:14">
      <c r="A4" s="1"/>
      <c r="B4" s="5"/>
      <c r="C4" s="2"/>
      <c r="D4" s="3"/>
      <c r="E4" s="2"/>
      <c r="F4" s="3"/>
      <c r="G4" s="3"/>
      <c r="H4" s="3"/>
      <c r="I4" s="3"/>
      <c r="J4" s="3"/>
      <c r="K4" s="3"/>
      <c r="L4" s="3"/>
      <c r="M4" s="3"/>
      <c r="N4" s="3"/>
    </row>
    <row r="5" spans="1:14">
      <c r="A5" s="1"/>
      <c r="B5" s="1"/>
      <c r="C5" s="2"/>
      <c r="D5" s="3"/>
      <c r="E5" s="2"/>
      <c r="F5" s="3"/>
      <c r="G5" s="3"/>
      <c r="H5" s="3"/>
      <c r="I5" s="3"/>
      <c r="J5" s="3"/>
      <c r="K5" s="3"/>
      <c r="L5" s="3"/>
      <c r="M5" s="3"/>
      <c r="N5" s="3"/>
    </row>
    <row r="6" spans="1:14">
      <c r="A6" s="1"/>
      <c r="B6" s="5"/>
      <c r="C6" s="2"/>
      <c r="D6" s="3"/>
      <c r="E6" s="2"/>
      <c r="F6" s="3"/>
      <c r="G6" s="3"/>
      <c r="H6" s="3"/>
      <c r="I6" s="3"/>
      <c r="J6" s="3"/>
      <c r="K6" s="3"/>
      <c r="L6" s="3"/>
      <c r="M6" s="3"/>
      <c r="N6" s="3"/>
    </row>
    <row r="7" spans="1:14" ht="15">
      <c r="A7" s="233">
        <f>mov!C4</f>
        <v>-4.0000000000000009</v>
      </c>
      <c r="B7" s="6" t="s">
        <v>174</v>
      </c>
      <c r="C7" s="6"/>
      <c r="D7" s="5"/>
      <c r="E7" s="6"/>
      <c r="F7" s="6"/>
      <c r="G7" s="6"/>
      <c r="H7" s="6"/>
      <c r="I7" s="6"/>
      <c r="J7" s="6"/>
      <c r="K7" s="6"/>
      <c r="L7" s="6"/>
      <c r="M7" s="6"/>
      <c r="N7" s="3"/>
    </row>
    <row r="8" spans="1:14">
      <c r="A8" s="1"/>
      <c r="B8" s="8" t="s">
        <v>27</v>
      </c>
      <c r="C8" s="9"/>
      <c r="D8" s="2" t="s">
        <v>2</v>
      </c>
      <c r="E8" s="236" t="s">
        <v>425</v>
      </c>
      <c r="F8" s="9"/>
      <c r="G8" s="3"/>
      <c r="H8" s="17" t="str">
        <f>CONCATENATE(B8,"---------- ",TEXT(E8,"0+000"))</f>
        <v>Chainage---------- STA 01</v>
      </c>
      <c r="I8" s="18"/>
      <c r="J8" s="18"/>
      <c r="K8" s="19"/>
      <c r="L8" s="3"/>
      <c r="M8" s="3"/>
      <c r="N8" s="3"/>
    </row>
    <row r="9" spans="1:14">
      <c r="A9" s="1"/>
      <c r="B9" s="10" t="s">
        <v>28</v>
      </c>
      <c r="C9" s="4"/>
      <c r="D9" s="2" t="s">
        <v>2</v>
      </c>
      <c r="E9" s="237" t="s">
        <v>66</v>
      </c>
      <c r="F9" s="39"/>
      <c r="G9" s="3"/>
      <c r="H9" s="20" t="str">
        <f>CONCATENATE(B9,"------ ",E9)</f>
        <v>Structure Type------ SC</v>
      </c>
      <c r="I9" s="21"/>
      <c r="J9" s="21"/>
      <c r="K9" s="22"/>
      <c r="L9" s="3"/>
      <c r="M9" s="3"/>
      <c r="N9" s="3"/>
    </row>
    <row r="10" spans="1:14">
      <c r="A10" s="1"/>
      <c r="B10" s="10" t="s">
        <v>40</v>
      </c>
      <c r="C10" s="4"/>
      <c r="D10" s="2" t="s">
        <v>2</v>
      </c>
      <c r="E10" s="234" t="str">
        <f>CONCATENATE(IF([1]SLB_CU!$E$5=1,"Single",IF([1]SLB_CU!$E$5=2,"Double",IF([1]SLB_CU!$E$5=3,"Triple")))," ","(",[1]SLB_CU!$D$5,"m x ",[1]SLB_CU!$E$12,"m)")</f>
        <v>Single (1m x 1.3m)</v>
      </c>
      <c r="F10" s="4"/>
      <c r="G10" s="3"/>
      <c r="H10" s="20" t="str">
        <f>CONCATENATE(B10,"-------- ",E10)</f>
        <v>Culvert Size-------- Single (1m x 1.3m)</v>
      </c>
      <c r="I10" s="21"/>
      <c r="J10" s="21"/>
      <c r="K10" s="22"/>
      <c r="L10" s="3"/>
      <c r="M10" s="3"/>
      <c r="N10" s="3"/>
    </row>
    <row r="11" spans="1:14">
      <c r="A11" s="1"/>
      <c r="B11" s="10" t="s">
        <v>30</v>
      </c>
      <c r="C11" s="4"/>
      <c r="D11" s="2" t="s">
        <v>2</v>
      </c>
      <c r="E11" s="241">
        <f>Pipe!F41</f>
        <v>219.51</v>
      </c>
      <c r="F11" s="4"/>
      <c r="G11" s="3"/>
      <c r="H11" s="20" t="str">
        <f>CONCATENATE(B11,"-------- ",E11,"m")</f>
        <v>Invert Level-------- 219.51m</v>
      </c>
      <c r="I11" s="21"/>
      <c r="J11" s="21"/>
      <c r="K11" s="22"/>
      <c r="L11" s="3"/>
      <c r="M11" s="3"/>
      <c r="N11" s="3"/>
    </row>
    <row r="12" spans="1:14">
      <c r="A12" s="1"/>
      <c r="B12" s="10" t="s">
        <v>41</v>
      </c>
      <c r="C12" s="4"/>
      <c r="D12" s="2" t="s">
        <v>2</v>
      </c>
      <c r="E12" s="240" t="str">
        <f>IF([1]main!$D$4&gt;0,"L","R")</f>
        <v>L</v>
      </c>
      <c r="F12" s="4"/>
      <c r="G12" s="3"/>
      <c r="H12" s="20" t="str">
        <f>CONCATENATE(B12,"------- ",E12)</f>
        <v>Flow direction------- L</v>
      </c>
      <c r="I12" s="21"/>
      <c r="J12" s="21"/>
      <c r="K12" s="22"/>
      <c r="L12" s="3"/>
      <c r="M12" s="3"/>
      <c r="N12" s="3"/>
    </row>
    <row r="13" spans="1:14">
      <c r="A13" s="1"/>
      <c r="B13" s="10" t="s">
        <v>32</v>
      </c>
      <c r="C13" s="4"/>
      <c r="D13" s="2" t="s">
        <v>2</v>
      </c>
      <c r="E13" s="246">
        <f>ABS([1]main!$D$4)</f>
        <v>0.73</v>
      </c>
      <c r="F13" s="4"/>
      <c r="G13" s="3"/>
      <c r="H13" s="20" t="str">
        <f>CONCATENATE(B13,"-------  ",ROUND(E13,2),"%")</f>
        <v>Invert Slope-------  0.73%</v>
      </c>
      <c r="I13" s="21"/>
      <c r="J13" s="21"/>
      <c r="K13" s="22"/>
      <c r="L13" s="3"/>
      <c r="M13" s="3"/>
      <c r="N13" s="3"/>
    </row>
    <row r="14" spans="1:14">
      <c r="A14" s="1"/>
      <c r="B14" s="10" t="s">
        <v>42</v>
      </c>
      <c r="C14" s="4"/>
      <c r="D14" s="2" t="s">
        <v>2</v>
      </c>
      <c r="E14" s="450">
        <f>ROUND(Pipe!F47,2)+ROUND(Pipe!G47,2)</f>
        <v>22.060000000000002</v>
      </c>
      <c r="F14" s="39"/>
      <c r="G14" s="3"/>
      <c r="H14" s="20" t="str">
        <f>CONCATENATE(B14,"-------- ",E14,"m")</f>
        <v>Barrel Length-------- 22.06m</v>
      </c>
      <c r="I14" s="21"/>
      <c r="J14" s="21"/>
      <c r="K14" s="22"/>
      <c r="L14" s="3"/>
      <c r="M14" s="3"/>
      <c r="N14" s="3"/>
    </row>
    <row r="15" spans="1:14">
      <c r="A15" s="1"/>
      <c r="B15" s="10" t="s">
        <v>43</v>
      </c>
      <c r="C15" s="4"/>
      <c r="D15" s="2" t="s">
        <v>2</v>
      </c>
      <c r="E15" s="244" t="s">
        <v>45</v>
      </c>
      <c r="F15" s="39"/>
      <c r="G15" s="3"/>
      <c r="H15" s="20" t="str">
        <f>CONCATENATE(B15,"---- ",E15)</f>
        <v>LHS End Strucutre---- M_WW</v>
      </c>
      <c r="I15" s="21"/>
      <c r="J15" s="21"/>
      <c r="K15" s="22"/>
      <c r="L15" s="3"/>
      <c r="M15" s="3"/>
      <c r="N15" s="3"/>
    </row>
    <row r="16" spans="1:14">
      <c r="A16" s="1"/>
      <c r="B16" s="10" t="s">
        <v>35</v>
      </c>
      <c r="C16" s="4"/>
      <c r="D16" s="2" t="s">
        <v>2</v>
      </c>
      <c r="E16" s="37" t="s">
        <v>45</v>
      </c>
      <c r="F16" s="4"/>
      <c r="G16" s="3"/>
      <c r="H16" s="20" t="str">
        <f>CONCATENATE(B16,"---- ",E16)</f>
        <v>RHS End Structure---- M_WW</v>
      </c>
      <c r="I16" s="21"/>
      <c r="J16" s="21"/>
      <c r="K16" s="22"/>
      <c r="L16" s="3"/>
      <c r="M16" s="3"/>
      <c r="N16" s="3"/>
    </row>
    <row r="17" spans="1:14">
      <c r="A17" s="1"/>
      <c r="B17" s="11" t="s">
        <v>36</v>
      </c>
      <c r="C17" s="12"/>
      <c r="D17" s="2" t="s">
        <v>2</v>
      </c>
      <c r="E17" s="93">
        <v>0</v>
      </c>
      <c r="F17" s="12"/>
      <c r="G17" s="3"/>
      <c r="H17" s="23" t="str">
        <f>CONCATENATE(B17,"--------- ",E17," Degree")</f>
        <v>Skew Ang--------- 0 Degree</v>
      </c>
      <c r="I17" s="24"/>
      <c r="J17" s="24"/>
      <c r="K17" s="25"/>
      <c r="L17" s="3"/>
      <c r="M17" s="3"/>
      <c r="N17" s="3"/>
    </row>
    <row r="18" spans="1:14">
      <c r="A18" s="1"/>
      <c r="B18" s="5"/>
      <c r="C18" s="2"/>
      <c r="D18" s="3"/>
      <c r="E18" s="2"/>
      <c r="F18" s="3"/>
      <c r="G18" s="3"/>
      <c r="H18" s="3"/>
      <c r="I18" s="3"/>
      <c r="J18" s="3"/>
      <c r="K18" s="3"/>
      <c r="L18" s="3"/>
      <c r="M18" s="3"/>
      <c r="N18" s="3"/>
    </row>
    <row r="19" spans="1:14">
      <c r="A19" s="1"/>
      <c r="B19" s="2" t="str">
        <f>"            Estimated Quantities [at "&amp;TEXT(E8,"0+000")&amp;"] "</f>
        <v xml:space="preserve">            Estimated Quantities [at STA 01] </v>
      </c>
      <c r="C19" s="2"/>
      <c r="D19" s="3"/>
      <c r="E19" s="2"/>
      <c r="F19" s="3"/>
      <c r="G19" s="3"/>
      <c r="H19" s="3"/>
      <c r="I19" s="3"/>
      <c r="J19" s="3"/>
      <c r="K19" s="3"/>
      <c r="L19" s="3"/>
      <c r="M19" s="3"/>
      <c r="N19" s="3"/>
    </row>
    <row r="20" spans="1:14">
      <c r="A20" s="1"/>
      <c r="B20" s="5"/>
      <c r="C20" s="2"/>
      <c r="D20" s="5"/>
      <c r="E20" s="5"/>
      <c r="F20" s="5"/>
      <c r="G20" s="3"/>
      <c r="H20" s="3"/>
      <c r="I20" s="17" t="str">
        <f>CONCATENATE("    Estimated Quantities [at ",TEXT(E8,"0+000")," ]")</f>
        <v xml:space="preserve">    Estimated Quantities [at STA 01 ]</v>
      </c>
      <c r="J20" s="18"/>
      <c r="K20" s="18"/>
      <c r="L20" s="18"/>
      <c r="M20" s="19"/>
      <c r="N20" s="3"/>
    </row>
    <row r="21" spans="1:14">
      <c r="A21" s="1"/>
      <c r="B21" s="13" t="s">
        <v>0</v>
      </c>
      <c r="C21" s="14"/>
      <c r="D21" s="15"/>
      <c r="E21" s="3"/>
      <c r="F21" s="8" t="s">
        <v>1</v>
      </c>
      <c r="G21" s="9"/>
      <c r="H21" s="3"/>
      <c r="I21" s="20" t="s">
        <v>20</v>
      </c>
      <c r="J21" s="21"/>
      <c r="K21" s="21"/>
      <c r="L21" s="21"/>
      <c r="M21" s="22"/>
      <c r="N21" s="3"/>
    </row>
    <row r="22" spans="1:14">
      <c r="A22" s="1"/>
      <c r="B22" s="10" t="s">
        <v>21</v>
      </c>
      <c r="C22" s="2"/>
      <c r="D22" s="4"/>
      <c r="E22" s="2" t="s">
        <v>2</v>
      </c>
      <c r="F22" s="40">
        <f>SUM(Schedule!AE7:AF7)</f>
        <v>0</v>
      </c>
      <c r="G22" s="4"/>
      <c r="H22" s="3"/>
      <c r="I22" s="20" t="str">
        <f>CONCATENATE(B22,"----------- ",F22,"m3")</f>
        <v>Structural Excavation----------- 0m3</v>
      </c>
      <c r="J22" s="21"/>
      <c r="K22" s="21"/>
      <c r="L22" s="21"/>
      <c r="M22" s="22"/>
      <c r="N22" s="3"/>
    </row>
    <row r="23" spans="1:14">
      <c r="A23" s="1"/>
      <c r="B23" s="10" t="s">
        <v>22</v>
      </c>
      <c r="C23" s="2"/>
      <c r="D23" s="4"/>
      <c r="E23" s="2" t="s">
        <v>2</v>
      </c>
      <c r="F23" s="40">
        <f>Schedule!AG7</f>
        <v>0</v>
      </c>
      <c r="G23" s="4"/>
      <c r="H23" s="3"/>
      <c r="I23" s="20" t="str">
        <f>CONCATENATE(B23,"------------ ",F23,"m3")</f>
        <v>Channel Excavation------------ 0m3</v>
      </c>
      <c r="J23" s="21"/>
      <c r="K23" s="21"/>
      <c r="L23" s="21"/>
      <c r="M23" s="22"/>
      <c r="N23" s="3"/>
    </row>
    <row r="24" spans="1:14">
      <c r="A24" s="1"/>
      <c r="B24" s="10" t="s">
        <v>4</v>
      </c>
      <c r="C24" s="2"/>
      <c r="D24" s="4"/>
      <c r="E24" s="2" t="s">
        <v>2</v>
      </c>
      <c r="F24" s="40">
        <v>0</v>
      </c>
      <c r="G24" s="4"/>
      <c r="H24" s="3"/>
      <c r="I24" s="20" t="str">
        <f>CONCATENATE(B24,"-------------------- ",F24,"m3")</f>
        <v>Backfill: -------------------- 0m3</v>
      </c>
      <c r="J24" s="21"/>
      <c r="K24" s="21"/>
      <c r="L24" s="21"/>
      <c r="M24" s="22"/>
      <c r="N24" s="3"/>
    </row>
    <row r="25" spans="1:14">
      <c r="A25" s="1"/>
      <c r="B25" s="10" t="s">
        <v>5</v>
      </c>
      <c r="C25" s="2"/>
      <c r="D25" s="4"/>
      <c r="E25" s="2" t="s">
        <v>2</v>
      </c>
      <c r="F25" s="40">
        <v>0</v>
      </c>
      <c r="G25" s="4"/>
      <c r="H25" s="3"/>
      <c r="I25" s="20" t="str">
        <f>CONCATENATE(B25,"--- ",F25,"m3")</f>
        <v>Cement Mortared Stone Masonry: --- 0m3</v>
      </c>
      <c r="J25" s="21"/>
      <c r="K25" s="21"/>
      <c r="L25" s="21"/>
      <c r="M25" s="22"/>
      <c r="N25" s="3"/>
    </row>
    <row r="26" spans="1:14">
      <c r="A26" s="1"/>
      <c r="B26" s="10" t="s">
        <v>6</v>
      </c>
      <c r="C26" s="2"/>
      <c r="D26" s="4"/>
      <c r="E26" s="2" t="s">
        <v>2</v>
      </c>
      <c r="F26" s="40">
        <v>0</v>
      </c>
      <c r="G26" s="4"/>
      <c r="H26" s="3"/>
      <c r="I26" s="20" t="str">
        <f>CONCATENATE(B26,"----------- ",F26,"m2")</f>
        <v>Grouted Stone Pitch: ----------- 0m2</v>
      </c>
      <c r="J26" s="21"/>
      <c r="K26" s="21"/>
      <c r="L26" s="21"/>
      <c r="M26" s="22"/>
      <c r="N26" s="3"/>
    </row>
    <row r="27" spans="1:14">
      <c r="A27" s="1"/>
      <c r="B27" s="10" t="s">
        <v>47</v>
      </c>
      <c r="C27" s="2"/>
      <c r="D27" s="4"/>
      <c r="E27" s="2" t="s">
        <v>2</v>
      </c>
      <c r="F27" s="40">
        <v>0</v>
      </c>
      <c r="G27" s="4"/>
      <c r="H27" s="3"/>
      <c r="I27" s="20" t="str">
        <f>CONCATENATE(B27,"------------- ",F27,"m3")</f>
        <v>Class A Concrete------------- 0m3</v>
      </c>
      <c r="J27" s="21"/>
      <c r="K27" s="21"/>
      <c r="L27" s="21"/>
      <c r="M27" s="22"/>
      <c r="N27" s="3"/>
    </row>
    <row r="28" spans="1:14">
      <c r="A28" s="1"/>
      <c r="B28" s="10" t="s">
        <v>48</v>
      </c>
      <c r="C28" s="2"/>
      <c r="D28" s="4"/>
      <c r="E28" s="2" t="s">
        <v>2</v>
      </c>
      <c r="F28" s="40">
        <v>0</v>
      </c>
      <c r="G28" s="4"/>
      <c r="H28" s="3"/>
      <c r="I28" s="20" t="str">
        <f>CONCATENATE(B28,"------------- ",F28,"m3")</f>
        <v>Class C Concrete------------- 0m3</v>
      </c>
      <c r="J28" s="21"/>
      <c r="K28" s="21"/>
      <c r="L28" s="21"/>
      <c r="M28" s="22"/>
      <c r="N28" s="3"/>
    </row>
    <row r="29" spans="1:14">
      <c r="A29" s="1"/>
      <c r="B29" s="10" t="s">
        <v>160</v>
      </c>
      <c r="C29" s="2"/>
      <c r="D29" s="4"/>
      <c r="E29" s="2" t="s">
        <v>2</v>
      </c>
      <c r="F29" s="40">
        <v>0</v>
      </c>
      <c r="G29" s="4"/>
      <c r="H29" s="3"/>
      <c r="I29" s="20" t="str">
        <f>CONCATENATE(B29,"------------- ",F29,"m3")</f>
        <v>Foundation Fill------------- 0m3</v>
      </c>
      <c r="J29" s="21"/>
      <c r="K29" s="21"/>
      <c r="L29" s="21"/>
      <c r="M29" s="22"/>
      <c r="N29" s="3"/>
    </row>
    <row r="30" spans="1:14">
      <c r="A30" s="1"/>
      <c r="B30" s="11" t="s">
        <v>49</v>
      </c>
      <c r="C30" s="16"/>
      <c r="D30" s="12"/>
      <c r="E30" s="2" t="s">
        <v>2</v>
      </c>
      <c r="F30" s="41">
        <v>0</v>
      </c>
      <c r="G30" s="12"/>
      <c r="H30" s="3"/>
      <c r="I30" s="23" t="str">
        <f>CONCATENATE(B30,"------------- ",F30,"kg")</f>
        <v>Reinforcing Steel------------- 0kg</v>
      </c>
      <c r="J30" s="24"/>
      <c r="K30" s="24"/>
      <c r="L30" s="24"/>
      <c r="M30" s="25"/>
      <c r="N30" s="3"/>
    </row>
    <row r="31" spans="1:14">
      <c r="A31" s="1"/>
      <c r="B31" s="5"/>
      <c r="C31" s="2"/>
      <c r="D31" s="3"/>
      <c r="E31" s="2"/>
      <c r="F31" s="3"/>
      <c r="G31" s="3"/>
      <c r="H31" s="3"/>
      <c r="I31" s="3"/>
      <c r="J31" s="3"/>
      <c r="K31" s="3"/>
      <c r="L31" s="3"/>
      <c r="M31" s="3"/>
      <c r="N31" s="3"/>
    </row>
    <row r="33" spans="3:3">
      <c r="C33" s="69"/>
    </row>
    <row r="35" spans="3:3">
      <c r="C35" s="545" t="s">
        <v>171</v>
      </c>
    </row>
    <row r="36" spans="3:3">
      <c r="C36" s="533"/>
    </row>
    <row r="37" spans="3:3" ht="15">
      <c r="C37" s="230">
        <f>[1]SLB_CU!$D$12</f>
        <v>0.20499999999999999</v>
      </c>
    </row>
  </sheetData>
  <mergeCells count="2">
    <mergeCell ref="I1:N2"/>
    <mergeCell ref="C35:C36"/>
  </mergeCells>
  <dataValidations count="1">
    <dataValidation type="list" allowBlank="1" showInputMessage="1" showErrorMessage="1" sqref="A2">
      <formula1>"Yes,No"</formula1>
    </dataValidation>
  </dataValidations>
  <pageMargins left="0.7" right="0.7" top="0.75" bottom="0.75" header="0.3" footer="0.3"/>
  <pageSetup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rid">
                <anchor moveWithCells="1" sizeWithCells="1">
                  <from>
                    <xdr:col>7</xdr:col>
                    <xdr:colOff>295275</xdr:colOff>
                    <xdr:row>3</xdr:row>
                    <xdr:rowOff>57150</xdr:rowOff>
                  </from>
                  <to>
                    <xdr:col>8</xdr:col>
                    <xdr:colOff>495300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mov_Slab">
                <anchor moveWithCells="1" sizeWithCells="1">
                  <from>
                    <xdr:col>0</xdr:col>
                    <xdr:colOff>361950</xdr:colOff>
                    <xdr:row>3</xdr:row>
                    <xdr:rowOff>19050</xdr:rowOff>
                  </from>
                  <to>
                    <xdr:col>1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1]!SL_draw_button.SL_draw_button">
                <anchor moveWithCells="1" sizeWithCells="1">
                  <from>
                    <xdr:col>3</xdr:col>
                    <xdr:colOff>19050</xdr:colOff>
                    <xdr:row>3</xdr:row>
                    <xdr:rowOff>28575</xdr:rowOff>
                  </from>
                  <to>
                    <xdr:col>4</xdr:col>
                    <xdr:colOff>123825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excavation">
                <anchor moveWithCells="1" sizeWithCells="1">
                  <from>
                    <xdr:col>5</xdr:col>
                    <xdr:colOff>104775</xdr:colOff>
                    <xdr:row>3</xdr:row>
                    <xdr:rowOff>38100</xdr:rowOff>
                  </from>
                  <to>
                    <xdr:col>6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8" name="Button 16">
              <controlPr defaultSize="0" print="0" autoFill="0" autoPict="0" macro="[0]!add_qty_Sch">
                <anchor moveWithCells="1" sizeWithCells="1">
                  <from>
                    <xdr:col>10</xdr:col>
                    <xdr:colOff>9525</xdr:colOff>
                    <xdr:row>3</xdr:row>
                    <xdr:rowOff>47625</xdr:rowOff>
                  </from>
                  <to>
                    <xdr:col>11</xdr:col>
                    <xdr:colOff>219075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9" name="Button 17">
              <controlPr defaultSize="0" print="0" autoFill="0" autoPict="0" macro="[0]!clearQty_sch">
                <anchor moveWithCells="1" sizeWithCells="1">
                  <from>
                    <xdr:col>11</xdr:col>
                    <xdr:colOff>285750</xdr:colOff>
                    <xdr:row>7</xdr:row>
                    <xdr:rowOff>95250</xdr:rowOff>
                  </from>
                  <to>
                    <xdr:col>12</xdr:col>
                    <xdr:colOff>552450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0" name="Button 18">
              <controlPr defaultSize="0" print="0" autoFill="0" autoPict="0" macro="[0]!draw_pipe">
                <anchor moveWithCells="1" sizeWithCells="1">
                  <from>
                    <xdr:col>1</xdr:col>
                    <xdr:colOff>257175</xdr:colOff>
                    <xdr:row>0</xdr:row>
                    <xdr:rowOff>57150</xdr:rowOff>
                  </from>
                  <to>
                    <xdr:col>3</xdr:col>
                    <xdr:colOff>381000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1" name="Button 20">
              <controlPr defaultSize="0" print="0" autoFill="0" autoPict="0" macro="[0]!DeleteLayer">
                <anchor moveWithCells="1" sizeWithCells="1">
                  <from>
                    <xdr:col>12</xdr:col>
                    <xdr:colOff>247650</xdr:colOff>
                    <xdr:row>1</xdr:row>
                    <xdr:rowOff>104775</xdr:rowOff>
                  </from>
                  <to>
                    <xdr:col>13</xdr:col>
                    <xdr:colOff>438150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T37"/>
  <sheetViews>
    <sheetView zoomScale="85" zoomScaleNormal="85" workbookViewId="0">
      <selection activeCell="G5" sqref="G5"/>
    </sheetView>
  </sheetViews>
  <sheetFormatPr defaultRowHeight="12.75"/>
  <cols>
    <col min="1" max="1" width="9" customWidth="1"/>
    <col min="4" max="4" width="10.5703125" customWidth="1"/>
  </cols>
  <sheetData>
    <row r="1" spans="1:19" ht="12.75" customHeight="1">
      <c r="A1" s="1" t="s">
        <v>3</v>
      </c>
      <c r="B1" s="2"/>
      <c r="C1" s="2"/>
      <c r="D1" s="3"/>
      <c r="E1" s="2" t="s">
        <v>170</v>
      </c>
      <c r="F1" s="3"/>
      <c r="G1" s="3"/>
      <c r="H1" s="542" t="s">
        <v>46</v>
      </c>
      <c r="I1" s="543"/>
      <c r="J1" s="543"/>
      <c r="K1" s="543"/>
      <c r="L1" s="543"/>
      <c r="M1" s="544"/>
    </row>
    <row r="2" spans="1:19" ht="13.5" customHeight="1" thickBot="1">
      <c r="A2" s="1"/>
      <c r="B2" s="5"/>
      <c r="C2" s="2"/>
      <c r="D2" s="3"/>
      <c r="E2" s="3"/>
      <c r="F2" s="220"/>
      <c r="G2" s="3"/>
      <c r="H2" s="537"/>
      <c r="I2" s="538"/>
      <c r="J2" s="538"/>
      <c r="K2" s="538"/>
      <c r="L2" s="538"/>
      <c r="M2" s="539"/>
    </row>
    <row r="3" spans="1:19" ht="13.5" thickTop="1">
      <c r="A3" s="1"/>
      <c r="B3" s="5"/>
      <c r="C3" s="2"/>
      <c r="D3" s="3"/>
      <c r="E3" s="3"/>
      <c r="F3" s="68"/>
      <c r="G3" s="3"/>
      <c r="H3" s="3"/>
      <c r="I3" s="3"/>
      <c r="J3" s="3"/>
      <c r="K3" s="3"/>
      <c r="L3" s="3"/>
      <c r="M3" s="4"/>
    </row>
    <row r="4" spans="1:19" ht="1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7"/>
    </row>
    <row r="5" spans="1:19" ht="15">
      <c r="A5" s="1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7"/>
    </row>
    <row r="6" spans="1:19" ht="15">
      <c r="A6" s="233">
        <f>mov!C4</f>
        <v>-4.0000000000000009</v>
      </c>
      <c r="B6" s="6" t="s">
        <v>174</v>
      </c>
      <c r="C6" s="6"/>
      <c r="D6" s="6"/>
      <c r="E6" s="6"/>
      <c r="F6" s="6"/>
      <c r="G6" s="6"/>
      <c r="H6" s="6"/>
      <c r="I6" s="6"/>
      <c r="J6" s="6"/>
      <c r="K6" s="6"/>
      <c r="L6" s="6"/>
      <c r="M6" s="7"/>
      <c r="R6">
        <v>3</v>
      </c>
      <c r="S6">
        <f t="shared" ref="S6:S12" si="0">R6+1</f>
        <v>4</v>
      </c>
    </row>
    <row r="7" spans="1:19">
      <c r="A7" s="1"/>
      <c r="B7" s="8" t="s">
        <v>27</v>
      </c>
      <c r="C7" s="9"/>
      <c r="D7" s="2" t="s">
        <v>2</v>
      </c>
      <c r="E7" s="70" t="s">
        <v>425</v>
      </c>
      <c r="F7" s="9"/>
      <c r="G7" s="3"/>
      <c r="H7" s="17" t="str">
        <f>CONCATENATE(B7,"---------- ",TEXT(E7,"0+000"))</f>
        <v>Chainage---------- STA 01</v>
      </c>
      <c r="I7" s="18"/>
      <c r="J7" s="18"/>
      <c r="K7" s="19"/>
      <c r="L7" s="3"/>
      <c r="M7" s="4"/>
      <c r="R7">
        <f t="shared" ref="R7:R12" si="1">R6+3</f>
        <v>6</v>
      </c>
      <c r="S7">
        <f t="shared" si="0"/>
        <v>7</v>
      </c>
    </row>
    <row r="8" spans="1:19">
      <c r="A8" s="1"/>
      <c r="B8" s="10" t="s">
        <v>28</v>
      </c>
      <c r="C8" s="4"/>
      <c r="D8" s="2" t="s">
        <v>2</v>
      </c>
      <c r="E8" s="235" t="s">
        <v>67</v>
      </c>
      <c r="F8" s="4"/>
      <c r="G8" s="3"/>
      <c r="H8" s="20" t="str">
        <f>CONCATENATE(B8,"------ ",E8)</f>
        <v>Structure Type------ BC</v>
      </c>
      <c r="I8" s="21"/>
      <c r="J8" s="21"/>
      <c r="K8" s="22"/>
      <c r="L8" s="3"/>
      <c r="M8" s="4"/>
      <c r="R8">
        <f t="shared" si="1"/>
        <v>9</v>
      </c>
      <c r="S8">
        <f t="shared" si="0"/>
        <v>10</v>
      </c>
    </row>
    <row r="9" spans="1:19">
      <c r="A9" s="1"/>
      <c r="B9" s="10" t="s">
        <v>40</v>
      </c>
      <c r="C9" s="4"/>
      <c r="D9" s="2" t="s">
        <v>2</v>
      </c>
      <c r="E9" s="237" t="str">
        <f>CONCATENATE(IF([1]BOX_CU!$E$5=1,"Single",IF([1]BOX_CU!$E$5=2,"Double",IF([1]BOX_CU!$E$5=3,"Triple")))," ","(",[1]BOX_CU!$D$5,"m x ",[1]BOX_CU!$E$8,"m)")</f>
        <v>Single (2m x 1m)</v>
      </c>
      <c r="F9" s="39"/>
      <c r="G9" s="3"/>
      <c r="H9" s="20" t="str">
        <f>CONCATENATE(B9,"---------- ",E9)</f>
        <v>Culvert Size---------- Single (2m x 1m)</v>
      </c>
      <c r="I9" s="21"/>
      <c r="J9" s="21"/>
      <c r="K9" s="22"/>
      <c r="L9" s="3"/>
      <c r="M9" s="4"/>
      <c r="R9">
        <f t="shared" si="1"/>
        <v>12</v>
      </c>
      <c r="S9">
        <f t="shared" si="0"/>
        <v>13</v>
      </c>
    </row>
    <row r="10" spans="1:19">
      <c r="A10" s="1"/>
      <c r="B10" s="10" t="s">
        <v>30</v>
      </c>
      <c r="C10" s="4"/>
      <c r="D10" s="2" t="s">
        <v>2</v>
      </c>
      <c r="E10" s="239">
        <f>ROUND(Pipe!F47,2)+ROUND(Pipe!G47,2)</f>
        <v>22.060000000000002</v>
      </c>
      <c r="F10" s="4"/>
      <c r="G10" s="3"/>
      <c r="H10" s="20" t="str">
        <f>CONCATENATE(B10,"-------- ",E10,"m")</f>
        <v>Invert Level-------- 22.06m</v>
      </c>
      <c r="I10" s="21"/>
      <c r="J10" s="21"/>
      <c r="K10" s="22"/>
      <c r="L10" s="3"/>
      <c r="M10" s="4"/>
      <c r="R10">
        <f t="shared" si="1"/>
        <v>15</v>
      </c>
      <c r="S10">
        <f t="shared" si="0"/>
        <v>16</v>
      </c>
    </row>
    <row r="11" spans="1:19">
      <c r="A11" s="1"/>
      <c r="B11" s="10" t="s">
        <v>41</v>
      </c>
      <c r="C11" s="4"/>
      <c r="D11" s="2" t="s">
        <v>2</v>
      </c>
      <c r="E11" s="240" t="str">
        <f>IF([1]main!$D$4&gt;0,"L","R")</f>
        <v>L</v>
      </c>
      <c r="F11" s="4"/>
      <c r="G11" s="3"/>
      <c r="H11" s="20" t="str">
        <f>CONCATENATE(B11,"------- ",E11)</f>
        <v>Flow direction------- L</v>
      </c>
      <c r="I11" s="21"/>
      <c r="J11" s="21"/>
      <c r="K11" s="22"/>
      <c r="L11" s="3"/>
      <c r="M11" s="4"/>
      <c r="R11">
        <f t="shared" si="1"/>
        <v>18</v>
      </c>
      <c r="S11">
        <f t="shared" si="0"/>
        <v>19</v>
      </c>
    </row>
    <row r="12" spans="1:19">
      <c r="A12" s="1"/>
      <c r="B12" s="10" t="s">
        <v>32</v>
      </c>
      <c r="C12" s="4"/>
      <c r="D12" s="2" t="s">
        <v>2</v>
      </c>
      <c r="E12" s="242">
        <f>ABS([1]main!$D$4)</f>
        <v>0.73</v>
      </c>
      <c r="F12" s="4"/>
      <c r="G12" s="3"/>
      <c r="H12" s="20" t="str">
        <f>CONCATENATE(B12,"-------  ",E12,"%")</f>
        <v>Invert Slope-------  0.73%</v>
      </c>
      <c r="I12" s="21"/>
      <c r="J12" s="21"/>
      <c r="K12" s="22"/>
      <c r="L12" s="3"/>
      <c r="M12" s="4"/>
      <c r="R12">
        <f t="shared" si="1"/>
        <v>21</v>
      </c>
      <c r="S12">
        <f t="shared" si="0"/>
        <v>22</v>
      </c>
    </row>
    <row r="13" spans="1:19">
      <c r="A13" s="1"/>
      <c r="B13" s="10" t="s">
        <v>42</v>
      </c>
      <c r="C13" s="4"/>
      <c r="D13" s="2" t="s">
        <v>2</v>
      </c>
      <c r="E13" s="239">
        <f>Pipe!F41</f>
        <v>219.51</v>
      </c>
      <c r="F13" s="4"/>
      <c r="G13" s="3"/>
      <c r="H13" s="20" t="str">
        <f>CONCATENATE(B13,"-------- ",E13,"m")</f>
        <v>Barrel Length-------- 219.51m</v>
      </c>
      <c r="I13" s="21"/>
      <c r="J13" s="21"/>
      <c r="K13" s="22"/>
      <c r="L13" s="3"/>
      <c r="M13" s="4"/>
    </row>
    <row r="14" spans="1:19">
      <c r="A14" s="1"/>
      <c r="B14" s="10" t="s">
        <v>43</v>
      </c>
      <c r="C14" s="4"/>
      <c r="D14" s="2" t="s">
        <v>2</v>
      </c>
      <c r="E14" s="239" t="str">
        <f>IF([1]BOX_CU!$F$5="MWW","M_WW","RC_WW")</f>
        <v>RC_WW</v>
      </c>
      <c r="F14" s="4"/>
      <c r="G14" s="3"/>
      <c r="H14" s="20" t="str">
        <f>CONCATENATE(B14,"---- ",E14)</f>
        <v>LHS End Strucutre---- RC_WW</v>
      </c>
      <c r="I14" s="21"/>
      <c r="J14" s="21"/>
      <c r="K14" s="22"/>
      <c r="L14" s="3"/>
      <c r="M14" s="4"/>
    </row>
    <row r="15" spans="1:19">
      <c r="A15" s="1"/>
      <c r="B15" s="10" t="s">
        <v>35</v>
      </c>
      <c r="C15" s="4"/>
      <c r="D15" s="2" t="s">
        <v>2</v>
      </c>
      <c r="E15" s="239" t="str">
        <f>IF([1]BOX_CU!$F$5="MWW","M_WW","RC_WW")</f>
        <v>RC_WW</v>
      </c>
      <c r="F15" s="4"/>
      <c r="G15" s="3"/>
      <c r="H15" s="20" t="str">
        <f>CONCATENATE(B15,"---- ",E15)</f>
        <v>RHS End Structure---- RC_WW</v>
      </c>
      <c r="I15" s="21"/>
      <c r="J15" s="21"/>
      <c r="K15" s="22"/>
      <c r="L15" s="3"/>
      <c r="M15" s="4"/>
    </row>
    <row r="16" spans="1:19">
      <c r="A16" s="1"/>
      <c r="B16" s="11" t="s">
        <v>36</v>
      </c>
      <c r="C16" s="12"/>
      <c r="D16" s="2" t="s">
        <v>2</v>
      </c>
      <c r="E16" s="245">
        <v>0</v>
      </c>
      <c r="F16" s="12"/>
      <c r="G16" s="3"/>
      <c r="H16" s="23" t="str">
        <f>CONCATENATE(B16,"--------- ",E16," Degree")</f>
        <v>Skew Ang--------- 0 Degree</v>
      </c>
      <c r="I16" s="24"/>
      <c r="J16" s="24"/>
      <c r="K16" s="25"/>
      <c r="L16" s="3"/>
      <c r="M16" s="4"/>
    </row>
    <row r="17" spans="1:20">
      <c r="A17" s="1"/>
      <c r="B17" s="5"/>
      <c r="C17" s="2"/>
      <c r="D17" s="3"/>
      <c r="E17" s="2"/>
      <c r="F17" s="3"/>
      <c r="G17" s="3"/>
      <c r="H17" s="3"/>
      <c r="I17" s="3"/>
      <c r="J17" s="3"/>
      <c r="K17" s="3"/>
      <c r="L17" s="3"/>
      <c r="M17" s="4"/>
    </row>
    <row r="18" spans="1:20">
      <c r="A18" s="1"/>
      <c r="B18" s="2" t="str">
        <f>"            Estimated Quantities [at "&amp;TEXT(E7,"0+000")&amp;"] "</f>
        <v xml:space="preserve">            Estimated Quantities [at STA 01] </v>
      </c>
      <c r="C18" s="2"/>
      <c r="D18" s="3"/>
      <c r="E18" s="2"/>
      <c r="F18" s="3"/>
      <c r="G18" s="3"/>
      <c r="H18" s="3"/>
      <c r="I18" s="3"/>
      <c r="J18" s="3"/>
      <c r="K18" s="3"/>
      <c r="L18" s="3"/>
      <c r="M18" s="12"/>
    </row>
    <row r="19" spans="1:20">
      <c r="A19" s="1"/>
      <c r="B19" s="5"/>
      <c r="C19" s="2"/>
      <c r="D19" s="5"/>
      <c r="E19" s="5"/>
      <c r="F19" s="5"/>
      <c r="G19" s="3"/>
      <c r="H19" s="3"/>
      <c r="I19" s="17" t="str">
        <f>CONCATENATE("    Estimated Quantities [at ",TEXT(E7,"0+000")," ]")</f>
        <v xml:space="preserve">    Estimated Quantities [at STA 01 ]</v>
      </c>
      <c r="J19" s="18"/>
      <c r="K19" s="18"/>
      <c r="L19" s="18"/>
      <c r="M19" s="19"/>
    </row>
    <row r="20" spans="1:20">
      <c r="A20" s="1"/>
      <c r="B20" s="13" t="s">
        <v>0</v>
      </c>
      <c r="C20" s="14"/>
      <c r="D20" s="15"/>
      <c r="E20" s="3"/>
      <c r="F20" s="8" t="s">
        <v>1</v>
      </c>
      <c r="G20" s="9"/>
      <c r="H20" s="3"/>
      <c r="I20" s="20" t="s">
        <v>20</v>
      </c>
      <c r="J20" s="21"/>
      <c r="K20" s="21"/>
      <c r="L20" s="21"/>
      <c r="M20" s="22"/>
    </row>
    <row r="21" spans="1:20">
      <c r="A21" s="1"/>
      <c r="B21" s="10" t="s">
        <v>21</v>
      </c>
      <c r="C21" s="2"/>
      <c r="D21" s="4"/>
      <c r="E21" s="2" t="s">
        <v>2</v>
      </c>
      <c r="F21" s="40">
        <v>0</v>
      </c>
      <c r="G21" s="4"/>
      <c r="H21" s="3"/>
      <c r="I21" s="20" t="str">
        <f>CONCATENATE(B21,"----------- ",F21,"m3")</f>
        <v>Structural Excavation----------- 0m3</v>
      </c>
      <c r="J21" s="21"/>
      <c r="K21" s="21"/>
      <c r="L21" s="21"/>
      <c r="M21" s="22"/>
    </row>
    <row r="22" spans="1:20">
      <c r="A22" s="1"/>
      <c r="B22" s="10" t="s">
        <v>22</v>
      </c>
      <c r="C22" s="2"/>
      <c r="D22" s="4"/>
      <c r="E22" s="2" t="s">
        <v>2</v>
      </c>
      <c r="F22" s="40">
        <v>0</v>
      </c>
      <c r="G22" s="4"/>
      <c r="H22" s="3"/>
      <c r="I22" s="20" t="str">
        <f>CONCATENATE(B22,"------------ ",F22,"m3")</f>
        <v>Channel Excavation------------ 0m3</v>
      </c>
      <c r="J22" s="21"/>
      <c r="K22" s="21"/>
      <c r="L22" s="21"/>
      <c r="M22" s="22"/>
    </row>
    <row r="23" spans="1:20">
      <c r="A23" s="1"/>
      <c r="B23" s="10" t="s">
        <v>4</v>
      </c>
      <c r="C23" s="2"/>
      <c r="D23" s="4"/>
      <c r="E23" s="2" t="s">
        <v>2</v>
      </c>
      <c r="F23" s="40">
        <v>0</v>
      </c>
      <c r="G23" s="4"/>
      <c r="H23" s="3"/>
      <c r="I23" s="20" t="str">
        <f>CONCATENATE(B23,"-------------------- ",F23,"m3")</f>
        <v>Backfill: -------------------- 0m3</v>
      </c>
      <c r="J23" s="21"/>
      <c r="K23" s="21"/>
      <c r="L23" s="21"/>
      <c r="M23" s="22"/>
    </row>
    <row r="24" spans="1:20">
      <c r="A24" s="1"/>
      <c r="B24" s="10" t="s">
        <v>5</v>
      </c>
      <c r="C24" s="2"/>
      <c r="D24" s="4"/>
      <c r="E24" s="2" t="s">
        <v>2</v>
      </c>
      <c r="F24" s="40">
        <v>0</v>
      </c>
      <c r="G24" s="4"/>
      <c r="H24" s="3"/>
      <c r="I24" s="20" t="str">
        <f>CONCATENATE(B24,"--- ",F24,"m3")</f>
        <v>Cement Mortared Stone Masonry: --- 0m3</v>
      </c>
      <c r="J24" s="21"/>
      <c r="K24" s="21"/>
      <c r="L24" s="21"/>
      <c r="M24" s="22"/>
    </row>
    <row r="25" spans="1:20">
      <c r="A25" s="1"/>
      <c r="B25" s="10" t="s">
        <v>6</v>
      </c>
      <c r="C25" s="2"/>
      <c r="D25" s="4"/>
      <c r="E25" s="2" t="s">
        <v>2</v>
      </c>
      <c r="F25" s="40">
        <v>0</v>
      </c>
      <c r="G25" s="4"/>
      <c r="H25" s="3"/>
      <c r="I25" s="20" t="str">
        <f>CONCATENATE(B25,"----------- ",F25,"m2")</f>
        <v>Grouted Stone Pitch: ----------- 0m2</v>
      </c>
      <c r="J25" s="21"/>
      <c r="K25" s="21"/>
      <c r="L25" s="21"/>
      <c r="M25" s="22"/>
    </row>
    <row r="26" spans="1:20">
      <c r="A26" s="1"/>
      <c r="B26" s="10" t="s">
        <v>47</v>
      </c>
      <c r="C26" s="2"/>
      <c r="D26" s="4"/>
      <c r="E26" s="2" t="s">
        <v>2</v>
      </c>
      <c r="F26" s="40">
        <v>0</v>
      </c>
      <c r="G26" s="4"/>
      <c r="H26" s="3"/>
      <c r="I26" s="20" t="str">
        <f>CONCATENATE(B26,"------------- ",F26,"m3")</f>
        <v>Class A Concrete------------- 0m3</v>
      </c>
      <c r="J26" s="21"/>
      <c r="K26" s="21"/>
      <c r="L26" s="21"/>
      <c r="M26" s="22"/>
    </row>
    <row r="27" spans="1:20">
      <c r="A27" s="1"/>
      <c r="B27" s="10" t="s">
        <v>48</v>
      </c>
      <c r="C27" s="2"/>
      <c r="D27" s="4"/>
      <c r="E27" s="2" t="s">
        <v>2</v>
      </c>
      <c r="F27" s="40">
        <v>0</v>
      </c>
      <c r="G27" s="4"/>
      <c r="H27" s="3"/>
      <c r="I27" s="20" t="str">
        <f>CONCATENATE(B27,"------------- ",F27,"m3")</f>
        <v>Class C Concrete------------- 0m3</v>
      </c>
      <c r="J27" s="21"/>
      <c r="K27" s="21"/>
      <c r="L27" s="21"/>
      <c r="M27" s="22"/>
    </row>
    <row r="28" spans="1:20">
      <c r="A28" s="1"/>
      <c r="B28" s="10" t="s">
        <v>160</v>
      </c>
      <c r="C28" s="2"/>
      <c r="D28" s="4"/>
      <c r="E28" s="2" t="s">
        <v>2</v>
      </c>
      <c r="F28" s="40">
        <v>0</v>
      </c>
      <c r="G28" s="4"/>
      <c r="H28" s="3"/>
      <c r="I28" s="20" t="str">
        <f>CONCATENATE(B28,"------------- ",F28,"m3")</f>
        <v>Foundation Fill------------- 0m3</v>
      </c>
      <c r="J28" s="21"/>
      <c r="K28" s="21"/>
      <c r="L28" s="21"/>
      <c r="M28" s="22"/>
      <c r="T28" t="s">
        <v>3</v>
      </c>
    </row>
    <row r="29" spans="1:20">
      <c r="A29" s="1"/>
      <c r="B29" s="11" t="s">
        <v>49</v>
      </c>
      <c r="C29" s="16"/>
      <c r="D29" s="12"/>
      <c r="E29" s="2" t="s">
        <v>2</v>
      </c>
      <c r="F29" s="41">
        <v>0</v>
      </c>
      <c r="G29" s="12"/>
      <c r="H29" s="3"/>
      <c r="I29" s="23" t="str">
        <f>CONCATENATE(B29,"------------- ",F29,"m3")</f>
        <v>Reinforcing Steel------------- 0m3</v>
      </c>
      <c r="J29" s="24"/>
      <c r="K29" s="24"/>
      <c r="L29" s="24"/>
      <c r="M29" s="25"/>
    </row>
    <row r="30" spans="1:20">
      <c r="A30" s="63"/>
      <c r="B30" s="64"/>
      <c r="C30" s="16"/>
      <c r="D30" s="65"/>
      <c r="E30" s="16"/>
      <c r="F30" s="65"/>
      <c r="G30" s="65"/>
      <c r="H30" s="65"/>
      <c r="I30" s="65"/>
      <c r="J30" s="65"/>
      <c r="K30" s="65"/>
      <c r="L30" s="65"/>
      <c r="M30" s="65"/>
    </row>
    <row r="32" spans="1:20">
      <c r="C32" s="69"/>
    </row>
    <row r="33" spans="3:3">
      <c r="C33" s="69" t="s">
        <v>82</v>
      </c>
    </row>
    <row r="34" spans="3:3">
      <c r="C34" t="s">
        <v>83</v>
      </c>
    </row>
    <row r="35" spans="3:3">
      <c r="C35" t="s">
        <v>84</v>
      </c>
    </row>
    <row r="36" spans="3:3">
      <c r="C36" t="s">
        <v>85</v>
      </c>
    </row>
    <row r="37" spans="3:3">
      <c r="C37" t="s">
        <v>86</v>
      </c>
    </row>
  </sheetData>
  <mergeCells count="1">
    <mergeCell ref="H1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3" r:id="rId3" name="Button 19">
              <controlPr defaultSize="0" print="0" autoFill="0" autoPict="0" macro="[0]!add_qty_Sch">
                <anchor moveWithCells="1" sizeWithCells="1">
                  <from>
                    <xdr:col>9</xdr:col>
                    <xdr:colOff>314325</xdr:colOff>
                    <xdr:row>2</xdr:row>
                    <xdr:rowOff>123825</xdr:rowOff>
                  </from>
                  <to>
                    <xdr:col>10</xdr:col>
                    <xdr:colOff>523875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4" name="Button 20">
              <controlPr defaultSize="0" print="0" autoFill="0" autoPict="0" macro="[0]!clearQty_sch">
                <anchor moveWithCells="1" sizeWithCells="1">
                  <from>
                    <xdr:col>10</xdr:col>
                    <xdr:colOff>514350</xdr:colOff>
                    <xdr:row>6</xdr:row>
                    <xdr:rowOff>95250</xdr:rowOff>
                  </from>
                  <to>
                    <xdr:col>12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5" name="Button 21">
              <controlPr defaultSize="0" print="0" autoFill="0" autoPict="0" macro="[0]!draw_pip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123825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6" name="Button 22">
              <controlPr defaultSize="0" print="0" autoFill="0" autoPict="0" macro="[0]!grid">
                <anchor moveWithCells="1" sizeWithCells="1">
                  <from>
                    <xdr:col>6</xdr:col>
                    <xdr:colOff>590550</xdr:colOff>
                    <xdr:row>2</xdr:row>
                    <xdr:rowOff>142875</xdr:rowOff>
                  </from>
                  <to>
                    <xdr:col>8</xdr:col>
                    <xdr:colOff>190500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7" name="Button 23">
              <controlPr defaultSize="0" print="0" autoFill="0" autoPict="0" macro="[0]!mov_Slab">
                <anchor moveWithCells="1" sizeWithCells="1">
                  <from>
                    <xdr:col>0</xdr:col>
                    <xdr:colOff>161925</xdr:colOff>
                    <xdr:row>2</xdr:row>
                    <xdr:rowOff>95250</xdr:rowOff>
                  </from>
                  <to>
                    <xdr:col>1</xdr:col>
                    <xdr:colOff>304800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8" name="Button 24">
              <controlPr defaultSize="0" print="0" autoFill="0" autoPict="0" macro="[1]!BX_draw_button.bx_draw_button">
                <anchor moveWithCells="1" sizeWithCells="1">
                  <from>
                    <xdr:col>2</xdr:col>
                    <xdr:colOff>314325</xdr:colOff>
                    <xdr:row>2</xdr:row>
                    <xdr:rowOff>104775</xdr:rowOff>
                  </from>
                  <to>
                    <xdr:col>3</xdr:col>
                    <xdr:colOff>514350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9" name="Button 25">
              <controlPr defaultSize="0" print="0" autoFill="0" autoPict="0" macro="[0]!excavation">
                <anchor moveWithCells="1" sizeWithCells="1">
                  <from>
                    <xdr:col>4</xdr:col>
                    <xdr:colOff>400050</xdr:colOff>
                    <xdr:row>2</xdr:row>
                    <xdr:rowOff>114300</xdr:rowOff>
                  </from>
                  <to>
                    <xdr:col>5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0" name="Button 26">
              <controlPr defaultSize="0" print="0" autoFill="0" autoPict="0" macro="[0]!DeleteLayer">
                <anchor moveWithCells="1" sizeWithCells="1">
                  <from>
                    <xdr:col>11</xdr:col>
                    <xdr:colOff>476250</xdr:colOff>
                    <xdr:row>2</xdr:row>
                    <xdr:rowOff>114300</xdr:rowOff>
                  </from>
                  <to>
                    <xdr:col>12</xdr:col>
                    <xdr:colOff>581025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Z94"/>
  <sheetViews>
    <sheetView workbookViewId="0">
      <selection sqref="A1:X1"/>
    </sheetView>
  </sheetViews>
  <sheetFormatPr defaultRowHeight="12.75"/>
  <cols>
    <col min="1" max="1" width="11.7109375" customWidth="1"/>
    <col min="2" max="2" width="5.5703125" customWidth="1"/>
    <col min="3" max="3" width="15.140625" customWidth="1"/>
    <col min="4" max="4" width="6.28515625" customWidth="1"/>
    <col min="5" max="7" width="7.42578125" customWidth="1"/>
    <col min="8" max="8" width="13" customWidth="1"/>
    <col min="9" max="11" width="8.28515625" customWidth="1"/>
    <col min="12" max="12" width="11.140625" customWidth="1"/>
    <col min="13" max="16" width="7.42578125" customWidth="1"/>
    <col min="17" max="18" width="5.5703125" bestFit="1" customWidth="1"/>
    <col min="19" max="21" width="7.42578125" customWidth="1"/>
    <col min="22" max="22" width="7.42578125" style="105" customWidth="1"/>
    <col min="23" max="24" width="7.42578125" customWidth="1"/>
    <col min="25" max="25" width="9.140625" customWidth="1"/>
    <col min="257" max="257" width="11.7109375" customWidth="1"/>
    <col min="258" max="258" width="5.5703125" customWidth="1"/>
    <col min="259" max="259" width="4.28515625" customWidth="1"/>
    <col min="260" max="260" width="6.28515625" customWidth="1"/>
    <col min="261" max="272" width="7.42578125" customWidth="1"/>
    <col min="273" max="274" width="5.5703125" bestFit="1" customWidth="1"/>
    <col min="275" max="280" width="7.42578125" customWidth="1"/>
    <col min="281" max="281" width="9.140625" customWidth="1"/>
    <col min="513" max="513" width="11.7109375" customWidth="1"/>
    <col min="514" max="514" width="5.5703125" customWidth="1"/>
    <col min="515" max="515" width="4.28515625" customWidth="1"/>
    <col min="516" max="516" width="6.28515625" customWidth="1"/>
    <col min="517" max="528" width="7.42578125" customWidth="1"/>
    <col min="529" max="530" width="5.5703125" bestFit="1" customWidth="1"/>
    <col min="531" max="536" width="7.42578125" customWidth="1"/>
    <col min="537" max="537" width="9.140625" customWidth="1"/>
    <col min="769" max="769" width="11.7109375" customWidth="1"/>
    <col min="770" max="770" width="5.5703125" customWidth="1"/>
    <col min="771" max="771" width="4.28515625" customWidth="1"/>
    <col min="772" max="772" width="6.28515625" customWidth="1"/>
    <col min="773" max="784" width="7.42578125" customWidth="1"/>
    <col min="785" max="786" width="5.5703125" bestFit="1" customWidth="1"/>
    <col min="787" max="792" width="7.42578125" customWidth="1"/>
    <col min="793" max="793" width="9.140625" customWidth="1"/>
    <col min="1025" max="1025" width="11.7109375" customWidth="1"/>
    <col min="1026" max="1026" width="5.5703125" customWidth="1"/>
    <col min="1027" max="1027" width="4.28515625" customWidth="1"/>
    <col min="1028" max="1028" width="6.28515625" customWidth="1"/>
    <col min="1029" max="1040" width="7.42578125" customWidth="1"/>
    <col min="1041" max="1042" width="5.5703125" bestFit="1" customWidth="1"/>
    <col min="1043" max="1048" width="7.42578125" customWidth="1"/>
    <col min="1049" max="1049" width="9.140625" customWidth="1"/>
    <col min="1281" max="1281" width="11.7109375" customWidth="1"/>
    <col min="1282" max="1282" width="5.5703125" customWidth="1"/>
    <col min="1283" max="1283" width="4.28515625" customWidth="1"/>
    <col min="1284" max="1284" width="6.28515625" customWidth="1"/>
    <col min="1285" max="1296" width="7.42578125" customWidth="1"/>
    <col min="1297" max="1298" width="5.5703125" bestFit="1" customWidth="1"/>
    <col min="1299" max="1304" width="7.42578125" customWidth="1"/>
    <col min="1305" max="1305" width="9.140625" customWidth="1"/>
    <col min="1537" max="1537" width="11.7109375" customWidth="1"/>
    <col min="1538" max="1538" width="5.5703125" customWidth="1"/>
    <col min="1539" max="1539" width="4.28515625" customWidth="1"/>
    <col min="1540" max="1540" width="6.28515625" customWidth="1"/>
    <col min="1541" max="1552" width="7.42578125" customWidth="1"/>
    <col min="1553" max="1554" width="5.5703125" bestFit="1" customWidth="1"/>
    <col min="1555" max="1560" width="7.42578125" customWidth="1"/>
    <col min="1561" max="1561" width="9.140625" customWidth="1"/>
    <col min="1793" max="1793" width="11.7109375" customWidth="1"/>
    <col min="1794" max="1794" width="5.5703125" customWidth="1"/>
    <col min="1795" max="1795" width="4.28515625" customWidth="1"/>
    <col min="1796" max="1796" width="6.28515625" customWidth="1"/>
    <col min="1797" max="1808" width="7.42578125" customWidth="1"/>
    <col min="1809" max="1810" width="5.5703125" bestFit="1" customWidth="1"/>
    <col min="1811" max="1816" width="7.42578125" customWidth="1"/>
    <col min="1817" max="1817" width="9.140625" customWidth="1"/>
    <col min="2049" max="2049" width="11.7109375" customWidth="1"/>
    <col min="2050" max="2050" width="5.5703125" customWidth="1"/>
    <col min="2051" max="2051" width="4.28515625" customWidth="1"/>
    <col min="2052" max="2052" width="6.28515625" customWidth="1"/>
    <col min="2053" max="2064" width="7.42578125" customWidth="1"/>
    <col min="2065" max="2066" width="5.5703125" bestFit="1" customWidth="1"/>
    <col min="2067" max="2072" width="7.42578125" customWidth="1"/>
    <col min="2073" max="2073" width="9.140625" customWidth="1"/>
    <col min="2305" max="2305" width="11.7109375" customWidth="1"/>
    <col min="2306" max="2306" width="5.5703125" customWidth="1"/>
    <col min="2307" max="2307" width="4.28515625" customWidth="1"/>
    <col min="2308" max="2308" width="6.28515625" customWidth="1"/>
    <col min="2309" max="2320" width="7.42578125" customWidth="1"/>
    <col min="2321" max="2322" width="5.5703125" bestFit="1" customWidth="1"/>
    <col min="2323" max="2328" width="7.42578125" customWidth="1"/>
    <col min="2329" max="2329" width="9.140625" customWidth="1"/>
    <col min="2561" max="2561" width="11.7109375" customWidth="1"/>
    <col min="2562" max="2562" width="5.5703125" customWidth="1"/>
    <col min="2563" max="2563" width="4.28515625" customWidth="1"/>
    <col min="2564" max="2564" width="6.28515625" customWidth="1"/>
    <col min="2565" max="2576" width="7.42578125" customWidth="1"/>
    <col min="2577" max="2578" width="5.5703125" bestFit="1" customWidth="1"/>
    <col min="2579" max="2584" width="7.42578125" customWidth="1"/>
    <col min="2585" max="2585" width="9.140625" customWidth="1"/>
    <col min="2817" max="2817" width="11.7109375" customWidth="1"/>
    <col min="2818" max="2818" width="5.5703125" customWidth="1"/>
    <col min="2819" max="2819" width="4.28515625" customWidth="1"/>
    <col min="2820" max="2820" width="6.28515625" customWidth="1"/>
    <col min="2821" max="2832" width="7.42578125" customWidth="1"/>
    <col min="2833" max="2834" width="5.5703125" bestFit="1" customWidth="1"/>
    <col min="2835" max="2840" width="7.42578125" customWidth="1"/>
    <col min="2841" max="2841" width="9.140625" customWidth="1"/>
    <col min="3073" max="3073" width="11.7109375" customWidth="1"/>
    <col min="3074" max="3074" width="5.5703125" customWidth="1"/>
    <col min="3075" max="3075" width="4.28515625" customWidth="1"/>
    <col min="3076" max="3076" width="6.28515625" customWidth="1"/>
    <col min="3077" max="3088" width="7.42578125" customWidth="1"/>
    <col min="3089" max="3090" width="5.5703125" bestFit="1" customWidth="1"/>
    <col min="3091" max="3096" width="7.42578125" customWidth="1"/>
    <col min="3097" max="3097" width="9.140625" customWidth="1"/>
    <col min="3329" max="3329" width="11.7109375" customWidth="1"/>
    <col min="3330" max="3330" width="5.5703125" customWidth="1"/>
    <col min="3331" max="3331" width="4.28515625" customWidth="1"/>
    <col min="3332" max="3332" width="6.28515625" customWidth="1"/>
    <col min="3333" max="3344" width="7.42578125" customWidth="1"/>
    <col min="3345" max="3346" width="5.5703125" bestFit="1" customWidth="1"/>
    <col min="3347" max="3352" width="7.42578125" customWidth="1"/>
    <col min="3353" max="3353" width="9.140625" customWidth="1"/>
    <col min="3585" max="3585" width="11.7109375" customWidth="1"/>
    <col min="3586" max="3586" width="5.5703125" customWidth="1"/>
    <col min="3587" max="3587" width="4.28515625" customWidth="1"/>
    <col min="3588" max="3588" width="6.28515625" customWidth="1"/>
    <col min="3589" max="3600" width="7.42578125" customWidth="1"/>
    <col min="3601" max="3602" width="5.5703125" bestFit="1" customWidth="1"/>
    <col min="3603" max="3608" width="7.42578125" customWidth="1"/>
    <col min="3609" max="3609" width="9.140625" customWidth="1"/>
    <col min="3841" max="3841" width="11.7109375" customWidth="1"/>
    <col min="3842" max="3842" width="5.5703125" customWidth="1"/>
    <col min="3843" max="3843" width="4.28515625" customWidth="1"/>
    <col min="3844" max="3844" width="6.28515625" customWidth="1"/>
    <col min="3845" max="3856" width="7.42578125" customWidth="1"/>
    <col min="3857" max="3858" width="5.5703125" bestFit="1" customWidth="1"/>
    <col min="3859" max="3864" width="7.42578125" customWidth="1"/>
    <col min="3865" max="3865" width="9.140625" customWidth="1"/>
    <col min="4097" max="4097" width="11.7109375" customWidth="1"/>
    <col min="4098" max="4098" width="5.5703125" customWidth="1"/>
    <col min="4099" max="4099" width="4.28515625" customWidth="1"/>
    <col min="4100" max="4100" width="6.28515625" customWidth="1"/>
    <col min="4101" max="4112" width="7.42578125" customWidth="1"/>
    <col min="4113" max="4114" width="5.5703125" bestFit="1" customWidth="1"/>
    <col min="4115" max="4120" width="7.42578125" customWidth="1"/>
    <col min="4121" max="4121" width="9.140625" customWidth="1"/>
    <col min="4353" max="4353" width="11.7109375" customWidth="1"/>
    <col min="4354" max="4354" width="5.5703125" customWidth="1"/>
    <col min="4355" max="4355" width="4.28515625" customWidth="1"/>
    <col min="4356" max="4356" width="6.28515625" customWidth="1"/>
    <col min="4357" max="4368" width="7.42578125" customWidth="1"/>
    <col min="4369" max="4370" width="5.5703125" bestFit="1" customWidth="1"/>
    <col min="4371" max="4376" width="7.42578125" customWidth="1"/>
    <col min="4377" max="4377" width="9.140625" customWidth="1"/>
    <col min="4609" max="4609" width="11.7109375" customWidth="1"/>
    <col min="4610" max="4610" width="5.5703125" customWidth="1"/>
    <col min="4611" max="4611" width="4.28515625" customWidth="1"/>
    <col min="4612" max="4612" width="6.28515625" customWidth="1"/>
    <col min="4613" max="4624" width="7.42578125" customWidth="1"/>
    <col min="4625" max="4626" width="5.5703125" bestFit="1" customWidth="1"/>
    <col min="4627" max="4632" width="7.42578125" customWidth="1"/>
    <col min="4633" max="4633" width="9.140625" customWidth="1"/>
    <col min="4865" max="4865" width="11.7109375" customWidth="1"/>
    <col min="4866" max="4866" width="5.5703125" customWidth="1"/>
    <col min="4867" max="4867" width="4.28515625" customWidth="1"/>
    <col min="4868" max="4868" width="6.28515625" customWidth="1"/>
    <col min="4869" max="4880" width="7.42578125" customWidth="1"/>
    <col min="4881" max="4882" width="5.5703125" bestFit="1" customWidth="1"/>
    <col min="4883" max="4888" width="7.42578125" customWidth="1"/>
    <col min="4889" max="4889" width="9.140625" customWidth="1"/>
    <col min="5121" max="5121" width="11.7109375" customWidth="1"/>
    <col min="5122" max="5122" width="5.5703125" customWidth="1"/>
    <col min="5123" max="5123" width="4.28515625" customWidth="1"/>
    <col min="5124" max="5124" width="6.28515625" customWidth="1"/>
    <col min="5125" max="5136" width="7.42578125" customWidth="1"/>
    <col min="5137" max="5138" width="5.5703125" bestFit="1" customWidth="1"/>
    <col min="5139" max="5144" width="7.42578125" customWidth="1"/>
    <col min="5145" max="5145" width="9.140625" customWidth="1"/>
    <col min="5377" max="5377" width="11.7109375" customWidth="1"/>
    <col min="5378" max="5378" width="5.5703125" customWidth="1"/>
    <col min="5379" max="5379" width="4.28515625" customWidth="1"/>
    <col min="5380" max="5380" width="6.28515625" customWidth="1"/>
    <col min="5381" max="5392" width="7.42578125" customWidth="1"/>
    <col min="5393" max="5394" width="5.5703125" bestFit="1" customWidth="1"/>
    <col min="5395" max="5400" width="7.42578125" customWidth="1"/>
    <col min="5401" max="5401" width="9.140625" customWidth="1"/>
    <col min="5633" max="5633" width="11.7109375" customWidth="1"/>
    <col min="5634" max="5634" width="5.5703125" customWidth="1"/>
    <col min="5635" max="5635" width="4.28515625" customWidth="1"/>
    <col min="5636" max="5636" width="6.28515625" customWidth="1"/>
    <col min="5637" max="5648" width="7.42578125" customWidth="1"/>
    <col min="5649" max="5650" width="5.5703125" bestFit="1" customWidth="1"/>
    <col min="5651" max="5656" width="7.42578125" customWidth="1"/>
    <col min="5657" max="5657" width="9.140625" customWidth="1"/>
    <col min="5889" max="5889" width="11.7109375" customWidth="1"/>
    <col min="5890" max="5890" width="5.5703125" customWidth="1"/>
    <col min="5891" max="5891" width="4.28515625" customWidth="1"/>
    <col min="5892" max="5892" width="6.28515625" customWidth="1"/>
    <col min="5893" max="5904" width="7.42578125" customWidth="1"/>
    <col min="5905" max="5906" width="5.5703125" bestFit="1" customWidth="1"/>
    <col min="5907" max="5912" width="7.42578125" customWidth="1"/>
    <col min="5913" max="5913" width="9.140625" customWidth="1"/>
    <col min="6145" max="6145" width="11.7109375" customWidth="1"/>
    <col min="6146" max="6146" width="5.5703125" customWidth="1"/>
    <col min="6147" max="6147" width="4.28515625" customWidth="1"/>
    <col min="6148" max="6148" width="6.28515625" customWidth="1"/>
    <col min="6149" max="6160" width="7.42578125" customWidth="1"/>
    <col min="6161" max="6162" width="5.5703125" bestFit="1" customWidth="1"/>
    <col min="6163" max="6168" width="7.42578125" customWidth="1"/>
    <col min="6169" max="6169" width="9.140625" customWidth="1"/>
    <col min="6401" max="6401" width="11.7109375" customWidth="1"/>
    <col min="6402" max="6402" width="5.5703125" customWidth="1"/>
    <col min="6403" max="6403" width="4.28515625" customWidth="1"/>
    <col min="6404" max="6404" width="6.28515625" customWidth="1"/>
    <col min="6405" max="6416" width="7.42578125" customWidth="1"/>
    <col min="6417" max="6418" width="5.5703125" bestFit="1" customWidth="1"/>
    <col min="6419" max="6424" width="7.42578125" customWidth="1"/>
    <col min="6425" max="6425" width="9.140625" customWidth="1"/>
    <col min="6657" max="6657" width="11.7109375" customWidth="1"/>
    <col min="6658" max="6658" width="5.5703125" customWidth="1"/>
    <col min="6659" max="6659" width="4.28515625" customWidth="1"/>
    <col min="6660" max="6660" width="6.28515625" customWidth="1"/>
    <col min="6661" max="6672" width="7.42578125" customWidth="1"/>
    <col min="6673" max="6674" width="5.5703125" bestFit="1" customWidth="1"/>
    <col min="6675" max="6680" width="7.42578125" customWidth="1"/>
    <col min="6681" max="6681" width="9.140625" customWidth="1"/>
    <col min="6913" max="6913" width="11.7109375" customWidth="1"/>
    <col min="6914" max="6914" width="5.5703125" customWidth="1"/>
    <col min="6915" max="6915" width="4.28515625" customWidth="1"/>
    <col min="6916" max="6916" width="6.28515625" customWidth="1"/>
    <col min="6917" max="6928" width="7.42578125" customWidth="1"/>
    <col min="6929" max="6930" width="5.5703125" bestFit="1" customWidth="1"/>
    <col min="6931" max="6936" width="7.42578125" customWidth="1"/>
    <col min="6937" max="6937" width="9.140625" customWidth="1"/>
    <col min="7169" max="7169" width="11.7109375" customWidth="1"/>
    <col min="7170" max="7170" width="5.5703125" customWidth="1"/>
    <col min="7171" max="7171" width="4.28515625" customWidth="1"/>
    <col min="7172" max="7172" width="6.28515625" customWidth="1"/>
    <col min="7173" max="7184" width="7.42578125" customWidth="1"/>
    <col min="7185" max="7186" width="5.5703125" bestFit="1" customWidth="1"/>
    <col min="7187" max="7192" width="7.42578125" customWidth="1"/>
    <col min="7193" max="7193" width="9.140625" customWidth="1"/>
    <col min="7425" max="7425" width="11.7109375" customWidth="1"/>
    <col min="7426" max="7426" width="5.5703125" customWidth="1"/>
    <col min="7427" max="7427" width="4.28515625" customWidth="1"/>
    <col min="7428" max="7428" width="6.28515625" customWidth="1"/>
    <col min="7429" max="7440" width="7.42578125" customWidth="1"/>
    <col min="7441" max="7442" width="5.5703125" bestFit="1" customWidth="1"/>
    <col min="7443" max="7448" width="7.42578125" customWidth="1"/>
    <col min="7449" max="7449" width="9.140625" customWidth="1"/>
    <col min="7681" max="7681" width="11.7109375" customWidth="1"/>
    <col min="7682" max="7682" width="5.5703125" customWidth="1"/>
    <col min="7683" max="7683" width="4.28515625" customWidth="1"/>
    <col min="7684" max="7684" width="6.28515625" customWidth="1"/>
    <col min="7685" max="7696" width="7.42578125" customWidth="1"/>
    <col min="7697" max="7698" width="5.5703125" bestFit="1" customWidth="1"/>
    <col min="7699" max="7704" width="7.42578125" customWidth="1"/>
    <col min="7705" max="7705" width="9.140625" customWidth="1"/>
    <col min="7937" max="7937" width="11.7109375" customWidth="1"/>
    <col min="7938" max="7938" width="5.5703125" customWidth="1"/>
    <col min="7939" max="7939" width="4.28515625" customWidth="1"/>
    <col min="7940" max="7940" width="6.28515625" customWidth="1"/>
    <col min="7941" max="7952" width="7.42578125" customWidth="1"/>
    <col min="7953" max="7954" width="5.5703125" bestFit="1" customWidth="1"/>
    <col min="7955" max="7960" width="7.42578125" customWidth="1"/>
    <col min="7961" max="7961" width="9.140625" customWidth="1"/>
    <col min="8193" max="8193" width="11.7109375" customWidth="1"/>
    <col min="8194" max="8194" width="5.5703125" customWidth="1"/>
    <col min="8195" max="8195" width="4.28515625" customWidth="1"/>
    <col min="8196" max="8196" width="6.28515625" customWidth="1"/>
    <col min="8197" max="8208" width="7.42578125" customWidth="1"/>
    <col min="8209" max="8210" width="5.5703125" bestFit="1" customWidth="1"/>
    <col min="8211" max="8216" width="7.42578125" customWidth="1"/>
    <col min="8217" max="8217" width="9.140625" customWidth="1"/>
    <col min="8449" max="8449" width="11.7109375" customWidth="1"/>
    <col min="8450" max="8450" width="5.5703125" customWidth="1"/>
    <col min="8451" max="8451" width="4.28515625" customWidth="1"/>
    <col min="8452" max="8452" width="6.28515625" customWidth="1"/>
    <col min="8453" max="8464" width="7.42578125" customWidth="1"/>
    <col min="8465" max="8466" width="5.5703125" bestFit="1" customWidth="1"/>
    <col min="8467" max="8472" width="7.42578125" customWidth="1"/>
    <col min="8473" max="8473" width="9.140625" customWidth="1"/>
    <col min="8705" max="8705" width="11.7109375" customWidth="1"/>
    <col min="8706" max="8706" width="5.5703125" customWidth="1"/>
    <col min="8707" max="8707" width="4.28515625" customWidth="1"/>
    <col min="8708" max="8708" width="6.28515625" customWidth="1"/>
    <col min="8709" max="8720" width="7.42578125" customWidth="1"/>
    <col min="8721" max="8722" width="5.5703125" bestFit="1" customWidth="1"/>
    <col min="8723" max="8728" width="7.42578125" customWidth="1"/>
    <col min="8729" max="8729" width="9.140625" customWidth="1"/>
    <col min="8961" max="8961" width="11.7109375" customWidth="1"/>
    <col min="8962" max="8962" width="5.5703125" customWidth="1"/>
    <col min="8963" max="8963" width="4.28515625" customWidth="1"/>
    <col min="8964" max="8964" width="6.28515625" customWidth="1"/>
    <col min="8965" max="8976" width="7.42578125" customWidth="1"/>
    <col min="8977" max="8978" width="5.5703125" bestFit="1" customWidth="1"/>
    <col min="8979" max="8984" width="7.42578125" customWidth="1"/>
    <col min="8985" max="8985" width="9.140625" customWidth="1"/>
    <col min="9217" max="9217" width="11.7109375" customWidth="1"/>
    <col min="9218" max="9218" width="5.5703125" customWidth="1"/>
    <col min="9219" max="9219" width="4.28515625" customWidth="1"/>
    <col min="9220" max="9220" width="6.28515625" customWidth="1"/>
    <col min="9221" max="9232" width="7.42578125" customWidth="1"/>
    <col min="9233" max="9234" width="5.5703125" bestFit="1" customWidth="1"/>
    <col min="9235" max="9240" width="7.42578125" customWidth="1"/>
    <col min="9241" max="9241" width="9.140625" customWidth="1"/>
    <col min="9473" max="9473" width="11.7109375" customWidth="1"/>
    <col min="9474" max="9474" width="5.5703125" customWidth="1"/>
    <col min="9475" max="9475" width="4.28515625" customWidth="1"/>
    <col min="9476" max="9476" width="6.28515625" customWidth="1"/>
    <col min="9477" max="9488" width="7.42578125" customWidth="1"/>
    <col min="9489" max="9490" width="5.5703125" bestFit="1" customWidth="1"/>
    <col min="9491" max="9496" width="7.42578125" customWidth="1"/>
    <col min="9497" max="9497" width="9.140625" customWidth="1"/>
    <col min="9729" max="9729" width="11.7109375" customWidth="1"/>
    <col min="9730" max="9730" width="5.5703125" customWidth="1"/>
    <col min="9731" max="9731" width="4.28515625" customWidth="1"/>
    <col min="9732" max="9732" width="6.28515625" customWidth="1"/>
    <col min="9733" max="9744" width="7.42578125" customWidth="1"/>
    <col min="9745" max="9746" width="5.5703125" bestFit="1" customWidth="1"/>
    <col min="9747" max="9752" width="7.42578125" customWidth="1"/>
    <col min="9753" max="9753" width="9.140625" customWidth="1"/>
    <col min="9985" max="9985" width="11.7109375" customWidth="1"/>
    <col min="9986" max="9986" width="5.5703125" customWidth="1"/>
    <col min="9987" max="9987" width="4.28515625" customWidth="1"/>
    <col min="9988" max="9988" width="6.28515625" customWidth="1"/>
    <col min="9989" max="10000" width="7.42578125" customWidth="1"/>
    <col min="10001" max="10002" width="5.5703125" bestFit="1" customWidth="1"/>
    <col min="10003" max="10008" width="7.42578125" customWidth="1"/>
    <col min="10009" max="10009" width="9.140625" customWidth="1"/>
    <col min="10241" max="10241" width="11.7109375" customWidth="1"/>
    <col min="10242" max="10242" width="5.5703125" customWidth="1"/>
    <col min="10243" max="10243" width="4.28515625" customWidth="1"/>
    <col min="10244" max="10244" width="6.28515625" customWidth="1"/>
    <col min="10245" max="10256" width="7.42578125" customWidth="1"/>
    <col min="10257" max="10258" width="5.5703125" bestFit="1" customWidth="1"/>
    <col min="10259" max="10264" width="7.42578125" customWidth="1"/>
    <col min="10265" max="10265" width="9.140625" customWidth="1"/>
    <col min="10497" max="10497" width="11.7109375" customWidth="1"/>
    <col min="10498" max="10498" width="5.5703125" customWidth="1"/>
    <col min="10499" max="10499" width="4.28515625" customWidth="1"/>
    <col min="10500" max="10500" width="6.28515625" customWidth="1"/>
    <col min="10501" max="10512" width="7.42578125" customWidth="1"/>
    <col min="10513" max="10514" width="5.5703125" bestFit="1" customWidth="1"/>
    <col min="10515" max="10520" width="7.42578125" customWidth="1"/>
    <col min="10521" max="10521" width="9.140625" customWidth="1"/>
    <col min="10753" max="10753" width="11.7109375" customWidth="1"/>
    <col min="10754" max="10754" width="5.5703125" customWidth="1"/>
    <col min="10755" max="10755" width="4.28515625" customWidth="1"/>
    <col min="10756" max="10756" width="6.28515625" customWidth="1"/>
    <col min="10757" max="10768" width="7.42578125" customWidth="1"/>
    <col min="10769" max="10770" width="5.5703125" bestFit="1" customWidth="1"/>
    <col min="10771" max="10776" width="7.42578125" customWidth="1"/>
    <col min="10777" max="10777" width="9.140625" customWidth="1"/>
    <col min="11009" max="11009" width="11.7109375" customWidth="1"/>
    <col min="11010" max="11010" width="5.5703125" customWidth="1"/>
    <col min="11011" max="11011" width="4.28515625" customWidth="1"/>
    <col min="11012" max="11012" width="6.28515625" customWidth="1"/>
    <col min="11013" max="11024" width="7.42578125" customWidth="1"/>
    <col min="11025" max="11026" width="5.5703125" bestFit="1" customWidth="1"/>
    <col min="11027" max="11032" width="7.42578125" customWidth="1"/>
    <col min="11033" max="11033" width="9.140625" customWidth="1"/>
    <col min="11265" max="11265" width="11.7109375" customWidth="1"/>
    <col min="11266" max="11266" width="5.5703125" customWidth="1"/>
    <col min="11267" max="11267" width="4.28515625" customWidth="1"/>
    <col min="11268" max="11268" width="6.28515625" customWidth="1"/>
    <col min="11269" max="11280" width="7.42578125" customWidth="1"/>
    <col min="11281" max="11282" width="5.5703125" bestFit="1" customWidth="1"/>
    <col min="11283" max="11288" width="7.42578125" customWidth="1"/>
    <col min="11289" max="11289" width="9.140625" customWidth="1"/>
    <col min="11521" max="11521" width="11.7109375" customWidth="1"/>
    <col min="11522" max="11522" width="5.5703125" customWidth="1"/>
    <col min="11523" max="11523" width="4.28515625" customWidth="1"/>
    <col min="11524" max="11524" width="6.28515625" customWidth="1"/>
    <col min="11525" max="11536" width="7.42578125" customWidth="1"/>
    <col min="11537" max="11538" width="5.5703125" bestFit="1" customWidth="1"/>
    <col min="11539" max="11544" width="7.42578125" customWidth="1"/>
    <col min="11545" max="11545" width="9.140625" customWidth="1"/>
    <col min="11777" max="11777" width="11.7109375" customWidth="1"/>
    <col min="11778" max="11778" width="5.5703125" customWidth="1"/>
    <col min="11779" max="11779" width="4.28515625" customWidth="1"/>
    <col min="11780" max="11780" width="6.28515625" customWidth="1"/>
    <col min="11781" max="11792" width="7.42578125" customWidth="1"/>
    <col min="11793" max="11794" width="5.5703125" bestFit="1" customWidth="1"/>
    <col min="11795" max="11800" width="7.42578125" customWidth="1"/>
    <col min="11801" max="11801" width="9.140625" customWidth="1"/>
    <col min="12033" max="12033" width="11.7109375" customWidth="1"/>
    <col min="12034" max="12034" width="5.5703125" customWidth="1"/>
    <col min="12035" max="12035" width="4.28515625" customWidth="1"/>
    <col min="12036" max="12036" width="6.28515625" customWidth="1"/>
    <col min="12037" max="12048" width="7.42578125" customWidth="1"/>
    <col min="12049" max="12050" width="5.5703125" bestFit="1" customWidth="1"/>
    <col min="12051" max="12056" width="7.42578125" customWidth="1"/>
    <col min="12057" max="12057" width="9.140625" customWidth="1"/>
    <col min="12289" max="12289" width="11.7109375" customWidth="1"/>
    <col min="12290" max="12290" width="5.5703125" customWidth="1"/>
    <col min="12291" max="12291" width="4.28515625" customWidth="1"/>
    <col min="12292" max="12292" width="6.28515625" customWidth="1"/>
    <col min="12293" max="12304" width="7.42578125" customWidth="1"/>
    <col min="12305" max="12306" width="5.5703125" bestFit="1" customWidth="1"/>
    <col min="12307" max="12312" width="7.42578125" customWidth="1"/>
    <col min="12313" max="12313" width="9.140625" customWidth="1"/>
    <col min="12545" max="12545" width="11.7109375" customWidth="1"/>
    <col min="12546" max="12546" width="5.5703125" customWidth="1"/>
    <col min="12547" max="12547" width="4.28515625" customWidth="1"/>
    <col min="12548" max="12548" width="6.28515625" customWidth="1"/>
    <col min="12549" max="12560" width="7.42578125" customWidth="1"/>
    <col min="12561" max="12562" width="5.5703125" bestFit="1" customWidth="1"/>
    <col min="12563" max="12568" width="7.42578125" customWidth="1"/>
    <col min="12569" max="12569" width="9.140625" customWidth="1"/>
    <col min="12801" max="12801" width="11.7109375" customWidth="1"/>
    <col min="12802" max="12802" width="5.5703125" customWidth="1"/>
    <col min="12803" max="12803" width="4.28515625" customWidth="1"/>
    <col min="12804" max="12804" width="6.28515625" customWidth="1"/>
    <col min="12805" max="12816" width="7.42578125" customWidth="1"/>
    <col min="12817" max="12818" width="5.5703125" bestFit="1" customWidth="1"/>
    <col min="12819" max="12824" width="7.42578125" customWidth="1"/>
    <col min="12825" max="12825" width="9.140625" customWidth="1"/>
    <col min="13057" max="13057" width="11.7109375" customWidth="1"/>
    <col min="13058" max="13058" width="5.5703125" customWidth="1"/>
    <col min="13059" max="13059" width="4.28515625" customWidth="1"/>
    <col min="13060" max="13060" width="6.28515625" customWidth="1"/>
    <col min="13061" max="13072" width="7.42578125" customWidth="1"/>
    <col min="13073" max="13074" width="5.5703125" bestFit="1" customWidth="1"/>
    <col min="13075" max="13080" width="7.42578125" customWidth="1"/>
    <col min="13081" max="13081" width="9.140625" customWidth="1"/>
    <col min="13313" max="13313" width="11.7109375" customWidth="1"/>
    <col min="13314" max="13314" width="5.5703125" customWidth="1"/>
    <col min="13315" max="13315" width="4.28515625" customWidth="1"/>
    <col min="13316" max="13316" width="6.28515625" customWidth="1"/>
    <col min="13317" max="13328" width="7.42578125" customWidth="1"/>
    <col min="13329" max="13330" width="5.5703125" bestFit="1" customWidth="1"/>
    <col min="13331" max="13336" width="7.42578125" customWidth="1"/>
    <col min="13337" max="13337" width="9.140625" customWidth="1"/>
    <col min="13569" max="13569" width="11.7109375" customWidth="1"/>
    <col min="13570" max="13570" width="5.5703125" customWidth="1"/>
    <col min="13571" max="13571" width="4.28515625" customWidth="1"/>
    <col min="13572" max="13572" width="6.28515625" customWidth="1"/>
    <col min="13573" max="13584" width="7.42578125" customWidth="1"/>
    <col min="13585" max="13586" width="5.5703125" bestFit="1" customWidth="1"/>
    <col min="13587" max="13592" width="7.42578125" customWidth="1"/>
    <col min="13593" max="13593" width="9.140625" customWidth="1"/>
    <col min="13825" max="13825" width="11.7109375" customWidth="1"/>
    <col min="13826" max="13826" width="5.5703125" customWidth="1"/>
    <col min="13827" max="13827" width="4.28515625" customWidth="1"/>
    <col min="13828" max="13828" width="6.28515625" customWidth="1"/>
    <col min="13829" max="13840" width="7.42578125" customWidth="1"/>
    <col min="13841" max="13842" width="5.5703125" bestFit="1" customWidth="1"/>
    <col min="13843" max="13848" width="7.42578125" customWidth="1"/>
    <col min="13849" max="13849" width="9.140625" customWidth="1"/>
    <col min="14081" max="14081" width="11.7109375" customWidth="1"/>
    <col min="14082" max="14082" width="5.5703125" customWidth="1"/>
    <col min="14083" max="14083" width="4.28515625" customWidth="1"/>
    <col min="14084" max="14084" width="6.28515625" customWidth="1"/>
    <col min="14085" max="14096" width="7.42578125" customWidth="1"/>
    <col min="14097" max="14098" width="5.5703125" bestFit="1" customWidth="1"/>
    <col min="14099" max="14104" width="7.42578125" customWidth="1"/>
    <col min="14105" max="14105" width="9.140625" customWidth="1"/>
    <col min="14337" max="14337" width="11.7109375" customWidth="1"/>
    <col min="14338" max="14338" width="5.5703125" customWidth="1"/>
    <col min="14339" max="14339" width="4.28515625" customWidth="1"/>
    <col min="14340" max="14340" width="6.28515625" customWidth="1"/>
    <col min="14341" max="14352" width="7.42578125" customWidth="1"/>
    <col min="14353" max="14354" width="5.5703125" bestFit="1" customWidth="1"/>
    <col min="14355" max="14360" width="7.42578125" customWidth="1"/>
    <col min="14361" max="14361" width="9.140625" customWidth="1"/>
    <col min="14593" max="14593" width="11.7109375" customWidth="1"/>
    <col min="14594" max="14594" width="5.5703125" customWidth="1"/>
    <col min="14595" max="14595" width="4.28515625" customWidth="1"/>
    <col min="14596" max="14596" width="6.28515625" customWidth="1"/>
    <col min="14597" max="14608" width="7.42578125" customWidth="1"/>
    <col min="14609" max="14610" width="5.5703125" bestFit="1" customWidth="1"/>
    <col min="14611" max="14616" width="7.42578125" customWidth="1"/>
    <col min="14617" max="14617" width="9.140625" customWidth="1"/>
    <col min="14849" max="14849" width="11.7109375" customWidth="1"/>
    <col min="14850" max="14850" width="5.5703125" customWidth="1"/>
    <col min="14851" max="14851" width="4.28515625" customWidth="1"/>
    <col min="14852" max="14852" width="6.28515625" customWidth="1"/>
    <col min="14853" max="14864" width="7.42578125" customWidth="1"/>
    <col min="14865" max="14866" width="5.5703125" bestFit="1" customWidth="1"/>
    <col min="14867" max="14872" width="7.42578125" customWidth="1"/>
    <col min="14873" max="14873" width="9.140625" customWidth="1"/>
    <col min="15105" max="15105" width="11.7109375" customWidth="1"/>
    <col min="15106" max="15106" width="5.5703125" customWidth="1"/>
    <col min="15107" max="15107" width="4.28515625" customWidth="1"/>
    <col min="15108" max="15108" width="6.28515625" customWidth="1"/>
    <col min="15109" max="15120" width="7.42578125" customWidth="1"/>
    <col min="15121" max="15122" width="5.5703125" bestFit="1" customWidth="1"/>
    <col min="15123" max="15128" width="7.42578125" customWidth="1"/>
    <col min="15129" max="15129" width="9.140625" customWidth="1"/>
    <col min="15361" max="15361" width="11.7109375" customWidth="1"/>
    <col min="15362" max="15362" width="5.5703125" customWidth="1"/>
    <col min="15363" max="15363" width="4.28515625" customWidth="1"/>
    <col min="15364" max="15364" width="6.28515625" customWidth="1"/>
    <col min="15365" max="15376" width="7.42578125" customWidth="1"/>
    <col min="15377" max="15378" width="5.5703125" bestFit="1" customWidth="1"/>
    <col min="15379" max="15384" width="7.42578125" customWidth="1"/>
    <col min="15385" max="15385" width="9.140625" customWidth="1"/>
    <col min="15617" max="15617" width="11.7109375" customWidth="1"/>
    <col min="15618" max="15618" width="5.5703125" customWidth="1"/>
    <col min="15619" max="15619" width="4.28515625" customWidth="1"/>
    <col min="15620" max="15620" width="6.28515625" customWidth="1"/>
    <col min="15621" max="15632" width="7.42578125" customWidth="1"/>
    <col min="15633" max="15634" width="5.5703125" bestFit="1" customWidth="1"/>
    <col min="15635" max="15640" width="7.42578125" customWidth="1"/>
    <col min="15641" max="15641" width="9.140625" customWidth="1"/>
    <col min="15873" max="15873" width="11.7109375" customWidth="1"/>
    <col min="15874" max="15874" width="5.5703125" customWidth="1"/>
    <col min="15875" max="15875" width="4.28515625" customWidth="1"/>
    <col min="15876" max="15876" width="6.28515625" customWidth="1"/>
    <col min="15877" max="15888" width="7.42578125" customWidth="1"/>
    <col min="15889" max="15890" width="5.5703125" bestFit="1" customWidth="1"/>
    <col min="15891" max="15896" width="7.42578125" customWidth="1"/>
    <col min="15897" max="15897" width="9.140625" customWidth="1"/>
    <col min="16129" max="16129" width="11.7109375" customWidth="1"/>
    <col min="16130" max="16130" width="5.5703125" customWidth="1"/>
    <col min="16131" max="16131" width="4.28515625" customWidth="1"/>
    <col min="16132" max="16132" width="6.28515625" customWidth="1"/>
    <col min="16133" max="16144" width="7.42578125" customWidth="1"/>
    <col min="16145" max="16146" width="5.5703125" bestFit="1" customWidth="1"/>
    <col min="16147" max="16152" width="7.42578125" customWidth="1"/>
    <col min="16153" max="16153" width="9.140625" customWidth="1"/>
  </cols>
  <sheetData>
    <row r="1" spans="1:26" ht="13.5" thickBot="1">
      <c r="A1" s="547" t="s">
        <v>120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548"/>
      <c r="W1" s="548"/>
      <c r="X1" s="549"/>
    </row>
    <row r="2" spans="1:26" ht="33" customHeight="1" thickBot="1">
      <c r="A2" s="547" t="s">
        <v>121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9"/>
      <c r="N2" s="97"/>
      <c r="O2" s="97"/>
      <c r="P2" s="97"/>
      <c r="Q2" s="550" t="s">
        <v>122</v>
      </c>
      <c r="R2" s="551"/>
      <c r="S2" s="547" t="s">
        <v>123</v>
      </c>
      <c r="T2" s="548"/>
      <c r="U2" s="548"/>
      <c r="V2" s="549"/>
      <c r="W2" s="547" t="s">
        <v>124</v>
      </c>
      <c r="X2" s="549"/>
    </row>
    <row r="3" spans="1:26" s="105" customFormat="1" ht="77.25" customHeight="1" thickBot="1">
      <c r="A3" s="98" t="s">
        <v>125</v>
      </c>
      <c r="B3" s="99" t="s">
        <v>126</v>
      </c>
      <c r="C3" s="100" t="s">
        <v>127</v>
      </c>
      <c r="D3" s="100" t="s">
        <v>128</v>
      </c>
      <c r="E3" s="100" t="s">
        <v>129</v>
      </c>
      <c r="F3" s="100" t="s">
        <v>130</v>
      </c>
      <c r="G3" s="101" t="s">
        <v>131</v>
      </c>
      <c r="H3" s="100" t="s">
        <v>132</v>
      </c>
      <c r="I3" s="100" t="s">
        <v>133</v>
      </c>
      <c r="J3" s="100" t="s">
        <v>134</v>
      </c>
      <c r="K3" s="100" t="s">
        <v>135</v>
      </c>
      <c r="L3" s="100" t="s">
        <v>136</v>
      </c>
      <c r="M3" s="102" t="s">
        <v>137</v>
      </c>
      <c r="N3" s="100" t="s">
        <v>138</v>
      </c>
      <c r="O3" s="100" t="s">
        <v>139</v>
      </c>
      <c r="P3" s="100" t="s">
        <v>140</v>
      </c>
      <c r="Q3" s="98" t="s">
        <v>141</v>
      </c>
      <c r="R3" s="103" t="s">
        <v>142</v>
      </c>
      <c r="S3" s="99" t="s">
        <v>143</v>
      </c>
      <c r="T3" s="103" t="s">
        <v>70</v>
      </c>
      <c r="U3" s="103" t="s">
        <v>144</v>
      </c>
      <c r="V3" s="104" t="s">
        <v>145</v>
      </c>
      <c r="W3" s="99" t="s">
        <v>146</v>
      </c>
      <c r="X3" s="104" t="s">
        <v>147</v>
      </c>
    </row>
    <row r="4" spans="1:26" ht="12" customHeight="1">
      <c r="A4" s="106" t="str">
        <f>CONCATENATE(B4,"-",C4,"-",D4)</f>
        <v>A-1-600</v>
      </c>
      <c r="B4" s="106" t="s">
        <v>55</v>
      </c>
      <c r="C4" s="107">
        <v>1</v>
      </c>
      <c r="D4" s="108">
        <v>600</v>
      </c>
      <c r="E4" s="109">
        <v>0.06</v>
      </c>
      <c r="F4" s="109">
        <f>D4/1000+2*E4</f>
        <v>0.72</v>
      </c>
      <c r="G4" s="109">
        <f>1.5*F4+C4*F4+(C4-1)*2*F4/3+1.5*F4</f>
        <v>2.88</v>
      </c>
      <c r="H4" s="109">
        <f>0.9+C4*F4+(C4-1)*2*F4/3+0.9</f>
        <v>2.52</v>
      </c>
      <c r="I4" s="109"/>
      <c r="J4" s="109">
        <f>2.5*F4</f>
        <v>1.7999999999999998</v>
      </c>
      <c r="K4" s="109"/>
      <c r="L4" s="109">
        <f>0.45+F4+0.5</f>
        <v>1.67</v>
      </c>
      <c r="M4" s="110"/>
      <c r="N4" s="111"/>
      <c r="O4" s="111">
        <f>0.3+0.4*L4</f>
        <v>0.96799999999999997</v>
      </c>
      <c r="P4" s="111"/>
      <c r="Q4" s="112">
        <f>G4*((0.3+O4)/2)*L4-C4*((0.3+O4)/2)*PI()*F4^2/4</f>
        <v>2.7911530413880792</v>
      </c>
      <c r="R4" s="109">
        <f>H4*J4</f>
        <v>4.5359999999999996</v>
      </c>
      <c r="S4" s="112">
        <f>0.9+G4</f>
        <v>3.78</v>
      </c>
      <c r="T4" s="109">
        <v>0</v>
      </c>
      <c r="U4" s="109">
        <f>C4*F4+(C4-1)*2*F4/3+2</f>
        <v>2.7199999999999998</v>
      </c>
      <c r="V4" s="113">
        <f>U4</f>
        <v>2.7199999999999998</v>
      </c>
      <c r="W4" s="114">
        <f>(0.9+C4*(D4/1000+2*E4)+(C4-1)*2/3*(D4/1000+2*E4))*(0.15+(D4/1000+2*E4))-C4*PI()*(D4/1000+2*E4)^2/4</f>
        <v>1.0022495920947629</v>
      </c>
      <c r="X4" s="113">
        <f>((O4+0.45)*(L4-0.15)+0.2*0.45)*(G4+0.9)-C4*(O4+0.45-(O4+0.3)/2)*PI()*F4^2/4-Q4</f>
        <v>5.3771018388142133</v>
      </c>
    </row>
    <row r="5" spans="1:26" ht="12" customHeight="1">
      <c r="A5" s="115" t="str">
        <f t="shared" ref="A5:A68" si="0">CONCATENATE(B5,"-",C5,"-",D5)</f>
        <v>A-1-760</v>
      </c>
      <c r="B5" s="115" t="s">
        <v>55</v>
      </c>
      <c r="C5" s="116">
        <v>1</v>
      </c>
      <c r="D5" s="117">
        <v>760</v>
      </c>
      <c r="E5" s="118">
        <v>7.0000000000000007E-2</v>
      </c>
      <c r="F5" s="118">
        <f t="shared" ref="F5:F68" si="1">D5/1000+2*E5</f>
        <v>0.9</v>
      </c>
      <c r="G5" s="118">
        <f t="shared" ref="G5:G18" si="2">1.5*F5+C5*F5+(C5-1)*2*F5/3+1.5*F5</f>
        <v>3.6</v>
      </c>
      <c r="H5" s="118">
        <f t="shared" ref="H5:H18" si="3">0.9+C5*F5+(C5-1)*2*F5/3+0.9</f>
        <v>2.7</v>
      </c>
      <c r="I5" s="118"/>
      <c r="J5" s="118">
        <f t="shared" ref="J5:J18" si="4">2.5*F5</f>
        <v>2.25</v>
      </c>
      <c r="K5" s="118"/>
      <c r="L5" s="118">
        <f t="shared" ref="L5:L63" si="5">0.45+F5+0.5</f>
        <v>1.85</v>
      </c>
      <c r="M5" s="119"/>
      <c r="N5" s="120"/>
      <c r="O5" s="120">
        <f t="shared" ref="O5:P63" si="6">0.3+0.4*L5</f>
        <v>1.04</v>
      </c>
      <c r="P5" s="120"/>
      <c r="Q5" s="121">
        <f t="shared" ref="Q5:Q18" si="7">G5*((0.3+O5)/2)*L5-C5*((0.3+O5)/2)*PI()*F5^2/4</f>
        <v>4.0359644167242061</v>
      </c>
      <c r="R5" s="118">
        <f t="shared" ref="R5:R18" si="8">H5*J5</f>
        <v>6.0750000000000002</v>
      </c>
      <c r="S5" s="121">
        <f t="shared" ref="S5:S18" si="9">0.9+G5</f>
        <v>4.5</v>
      </c>
      <c r="T5" s="118">
        <v>0</v>
      </c>
      <c r="U5" s="118">
        <f t="shared" ref="U5:U18" si="10">C5*F5+(C5-1)*2*F5/3+2</f>
        <v>2.9</v>
      </c>
      <c r="V5" s="122">
        <f t="shared" ref="V5:V18" si="11">U5</f>
        <v>2.9</v>
      </c>
      <c r="W5" s="121">
        <f t="shared" ref="W5:W35" si="12">(0.9+C5*(D5/1000+2*E5)+(C5-1)*2/3*(D5/1000+2*E5))*(0.15+(D5/1000+2*E5))-C5*PI()*(D5/1000+2*E5)^2/4</f>
        <v>1.2538274876480671</v>
      </c>
      <c r="X5" s="122">
        <f t="shared" ref="X5:X17" si="13">((O5+0.45)*(L5-0.15)+0.2*0.45)*(G5+0.9)-C5*(O5+0.45-(O5+0.3)/2)*PI()*F5^2/4-Q5</f>
        <v>7.2458741231472095</v>
      </c>
    </row>
    <row r="6" spans="1:26" ht="12" customHeight="1">
      <c r="A6" s="115" t="str">
        <f t="shared" si="0"/>
        <v>A-1-900</v>
      </c>
      <c r="B6" s="115" t="s">
        <v>55</v>
      </c>
      <c r="C6" s="116">
        <v>1</v>
      </c>
      <c r="D6" s="123">
        <v>900</v>
      </c>
      <c r="E6" s="124">
        <v>0.08</v>
      </c>
      <c r="F6" s="124">
        <f t="shared" si="1"/>
        <v>1.06</v>
      </c>
      <c r="G6" s="124">
        <f t="shared" si="2"/>
        <v>4.24</v>
      </c>
      <c r="H6" s="124">
        <f t="shared" si="3"/>
        <v>2.86</v>
      </c>
      <c r="I6" s="124"/>
      <c r="J6" s="124">
        <f t="shared" si="4"/>
        <v>2.6500000000000004</v>
      </c>
      <c r="K6" s="124"/>
      <c r="L6" s="124">
        <f t="shared" si="5"/>
        <v>2.0099999999999998</v>
      </c>
      <c r="M6" s="125"/>
      <c r="N6" s="126"/>
      <c r="O6" s="126">
        <f t="shared" si="6"/>
        <v>1.1039999999999999</v>
      </c>
      <c r="P6" s="126"/>
      <c r="Q6" s="127">
        <f t="shared" si="7"/>
        <v>5.3632284897718518</v>
      </c>
      <c r="R6" s="124">
        <f t="shared" si="8"/>
        <v>7.5790000000000006</v>
      </c>
      <c r="S6" s="127">
        <f t="shared" si="9"/>
        <v>5.1400000000000006</v>
      </c>
      <c r="T6" s="124">
        <v>0</v>
      </c>
      <c r="U6" s="124">
        <f t="shared" si="10"/>
        <v>3.06</v>
      </c>
      <c r="V6" s="122">
        <f t="shared" si="11"/>
        <v>3.06</v>
      </c>
      <c r="W6" s="121">
        <f t="shared" si="12"/>
        <v>1.489126623606627</v>
      </c>
      <c r="X6" s="122">
        <f t="shared" si="13"/>
        <v>9.2043657935409939</v>
      </c>
      <c r="Z6" s="128"/>
    </row>
    <row r="7" spans="1:26" ht="12" customHeight="1">
      <c r="A7" s="115" t="str">
        <f t="shared" si="0"/>
        <v>A-1-1060</v>
      </c>
      <c r="B7" s="115" t="s">
        <v>55</v>
      </c>
      <c r="C7" s="116">
        <v>1</v>
      </c>
      <c r="D7" s="123">
        <v>1060</v>
      </c>
      <c r="E7" s="124">
        <v>0.09</v>
      </c>
      <c r="F7" s="124">
        <f t="shared" si="1"/>
        <v>1.24</v>
      </c>
      <c r="G7" s="124">
        <f t="shared" si="2"/>
        <v>4.9599999999999991</v>
      </c>
      <c r="H7" s="124">
        <f t="shared" si="3"/>
        <v>3.04</v>
      </c>
      <c r="I7" s="124"/>
      <c r="J7" s="124">
        <f t="shared" si="4"/>
        <v>3.1</v>
      </c>
      <c r="K7" s="124"/>
      <c r="L7" s="124">
        <f t="shared" si="5"/>
        <v>2.19</v>
      </c>
      <c r="M7" s="125"/>
      <c r="N7" s="126"/>
      <c r="O7" s="126">
        <f t="shared" si="6"/>
        <v>1.1759999999999999</v>
      </c>
      <c r="P7" s="126"/>
      <c r="Q7" s="127">
        <f t="shared" si="7"/>
        <v>7.1252215765625406</v>
      </c>
      <c r="R7" s="124">
        <f t="shared" si="8"/>
        <v>9.4240000000000013</v>
      </c>
      <c r="S7" s="127">
        <f t="shared" si="9"/>
        <v>5.8599999999999994</v>
      </c>
      <c r="T7" s="124">
        <v>0</v>
      </c>
      <c r="U7" s="124">
        <f t="shared" si="10"/>
        <v>3.24</v>
      </c>
      <c r="V7" s="122">
        <f t="shared" si="11"/>
        <v>3.24</v>
      </c>
      <c r="W7" s="121">
        <f t="shared" si="12"/>
        <v>1.7669717839600836</v>
      </c>
      <c r="X7" s="122">
        <f t="shared" si="13"/>
        <v>11.767658967594009</v>
      </c>
      <c r="Z7" s="128"/>
    </row>
    <row r="8" spans="1:26" ht="12" customHeight="1">
      <c r="A8" s="129" t="str">
        <f t="shared" si="0"/>
        <v>A-1-1220</v>
      </c>
      <c r="B8" s="129" t="s">
        <v>55</v>
      </c>
      <c r="C8" s="130">
        <v>1</v>
      </c>
      <c r="D8" s="131">
        <v>1220</v>
      </c>
      <c r="E8" s="132">
        <v>0.1</v>
      </c>
      <c r="F8" s="132">
        <f t="shared" si="1"/>
        <v>1.42</v>
      </c>
      <c r="G8" s="132">
        <f t="shared" si="2"/>
        <v>5.68</v>
      </c>
      <c r="H8" s="132">
        <f t="shared" si="3"/>
        <v>3.2199999999999998</v>
      </c>
      <c r="I8" s="132"/>
      <c r="J8" s="132">
        <f t="shared" si="4"/>
        <v>3.55</v>
      </c>
      <c r="K8" s="132"/>
      <c r="L8" s="132">
        <f t="shared" si="5"/>
        <v>2.37</v>
      </c>
      <c r="M8" s="133"/>
      <c r="N8" s="134"/>
      <c r="O8" s="134">
        <f t="shared" si="6"/>
        <v>1.248</v>
      </c>
      <c r="P8" s="134"/>
      <c r="Q8" s="135">
        <f t="shared" si="7"/>
        <v>9.1935125129338502</v>
      </c>
      <c r="R8" s="132">
        <f t="shared" si="8"/>
        <v>11.430999999999999</v>
      </c>
      <c r="S8" s="135">
        <f t="shared" si="9"/>
        <v>6.58</v>
      </c>
      <c r="T8" s="132">
        <v>0</v>
      </c>
      <c r="U8" s="132">
        <f t="shared" si="10"/>
        <v>3.42</v>
      </c>
      <c r="V8" s="136">
        <f t="shared" si="11"/>
        <v>3.42</v>
      </c>
      <c r="W8" s="137">
        <f t="shared" si="12"/>
        <v>2.058723143325385</v>
      </c>
      <c r="X8" s="136">
        <f t="shared" si="13"/>
        <v>14.739074871498808</v>
      </c>
      <c r="Z8" s="128"/>
    </row>
    <row r="9" spans="1:26" ht="12" customHeight="1">
      <c r="A9" s="138" t="str">
        <f t="shared" si="0"/>
        <v>A-2-660</v>
      </c>
      <c r="B9" s="138" t="s">
        <v>55</v>
      </c>
      <c r="C9" s="139">
        <v>2</v>
      </c>
      <c r="D9" s="140">
        <v>660</v>
      </c>
      <c r="E9" s="141">
        <v>0.06</v>
      </c>
      <c r="F9" s="141">
        <f t="shared" si="1"/>
        <v>0.78</v>
      </c>
      <c r="G9" s="141">
        <f t="shared" si="2"/>
        <v>4.42</v>
      </c>
      <c r="H9" s="141">
        <f t="shared" si="3"/>
        <v>3.88</v>
      </c>
      <c r="I9" s="141"/>
      <c r="J9" s="141">
        <f t="shared" si="4"/>
        <v>1.9500000000000002</v>
      </c>
      <c r="K9" s="141"/>
      <c r="L9" s="141">
        <f t="shared" si="5"/>
        <v>1.73</v>
      </c>
      <c r="M9" s="142"/>
      <c r="N9" s="143"/>
      <c r="O9" s="143">
        <f t="shared" si="6"/>
        <v>0.99199999999999999</v>
      </c>
      <c r="P9" s="143"/>
      <c r="Q9" s="144">
        <f t="shared" si="7"/>
        <v>4.3223391745465776</v>
      </c>
      <c r="R9" s="141">
        <f t="shared" si="8"/>
        <v>7.5660000000000007</v>
      </c>
      <c r="S9" s="144">
        <f t="shared" si="9"/>
        <v>5.32</v>
      </c>
      <c r="T9" s="141">
        <v>0</v>
      </c>
      <c r="U9" s="141">
        <f t="shared" si="10"/>
        <v>4.08</v>
      </c>
      <c r="V9" s="145">
        <f t="shared" si="11"/>
        <v>4.08</v>
      </c>
      <c r="W9" s="146">
        <f t="shared" si="12"/>
        <v>1.815727514777985</v>
      </c>
      <c r="X9" s="145">
        <f t="shared" si="13"/>
        <v>7.5166207272166989</v>
      </c>
    </row>
    <row r="10" spans="1:26" ht="12" customHeight="1">
      <c r="A10" s="115" t="str">
        <f t="shared" si="0"/>
        <v>A-2-760</v>
      </c>
      <c r="B10" s="115" t="s">
        <v>55</v>
      </c>
      <c r="C10" s="116">
        <v>2</v>
      </c>
      <c r="D10" s="117">
        <v>760</v>
      </c>
      <c r="E10" s="118">
        <v>7.0000000000000007E-2</v>
      </c>
      <c r="F10" s="118">
        <f t="shared" si="1"/>
        <v>0.9</v>
      </c>
      <c r="G10" s="118">
        <f t="shared" si="2"/>
        <v>5.1000000000000005</v>
      </c>
      <c r="H10" s="118">
        <f t="shared" si="3"/>
        <v>4.2</v>
      </c>
      <c r="I10" s="118"/>
      <c r="J10" s="118">
        <f t="shared" si="4"/>
        <v>2.25</v>
      </c>
      <c r="K10" s="118"/>
      <c r="L10" s="118">
        <f t="shared" si="5"/>
        <v>1.85</v>
      </c>
      <c r="M10" s="119"/>
      <c r="N10" s="120"/>
      <c r="O10" s="120">
        <f t="shared" si="6"/>
        <v>1.04</v>
      </c>
      <c r="P10" s="120"/>
      <c r="Q10" s="121">
        <f t="shared" si="7"/>
        <v>5.4689788334484106</v>
      </c>
      <c r="R10" s="118">
        <f t="shared" si="8"/>
        <v>9.4500000000000011</v>
      </c>
      <c r="S10" s="121">
        <f t="shared" si="9"/>
        <v>6.0000000000000009</v>
      </c>
      <c r="T10" s="118">
        <v>0</v>
      </c>
      <c r="U10" s="118">
        <f t="shared" si="10"/>
        <v>4.4000000000000004</v>
      </c>
      <c r="V10" s="122">
        <f t="shared" si="11"/>
        <v>4.4000000000000004</v>
      </c>
      <c r="W10" s="121">
        <f t="shared" si="12"/>
        <v>2.1926549752961337</v>
      </c>
      <c r="X10" s="122">
        <f t="shared" si="13"/>
        <v>9.2256982462944226</v>
      </c>
    </row>
    <row r="11" spans="1:26" ht="12" customHeight="1">
      <c r="A11" s="115" t="str">
        <f t="shared" si="0"/>
        <v>A-2-900</v>
      </c>
      <c r="B11" s="115" t="s">
        <v>55</v>
      </c>
      <c r="C11" s="116">
        <v>2</v>
      </c>
      <c r="D11" s="123">
        <v>900</v>
      </c>
      <c r="E11" s="124">
        <v>0.08</v>
      </c>
      <c r="F11" s="124">
        <f t="shared" si="1"/>
        <v>1.06</v>
      </c>
      <c r="G11" s="124">
        <f t="shared" si="2"/>
        <v>6.0066666666666668</v>
      </c>
      <c r="H11" s="124">
        <f t="shared" si="3"/>
        <v>4.6266666666666669</v>
      </c>
      <c r="I11" s="124"/>
      <c r="J11" s="124">
        <f t="shared" si="4"/>
        <v>2.6500000000000004</v>
      </c>
      <c r="K11" s="124"/>
      <c r="L11" s="124">
        <f t="shared" si="5"/>
        <v>2.0099999999999998</v>
      </c>
      <c r="M11" s="125"/>
      <c r="N11" s="126"/>
      <c r="O11" s="126">
        <f t="shared" si="6"/>
        <v>1.1039999999999999</v>
      </c>
      <c r="P11" s="126"/>
      <c r="Q11" s="127">
        <f t="shared" si="7"/>
        <v>7.2365341795437033</v>
      </c>
      <c r="R11" s="124">
        <f t="shared" si="8"/>
        <v>12.260666666666669</v>
      </c>
      <c r="S11" s="127">
        <f t="shared" si="9"/>
        <v>6.9066666666666672</v>
      </c>
      <c r="T11" s="124">
        <v>0</v>
      </c>
      <c r="U11" s="124">
        <f t="shared" si="10"/>
        <v>4.8266666666666662</v>
      </c>
      <c r="V11" s="122">
        <f t="shared" si="11"/>
        <v>4.8266666666666662</v>
      </c>
      <c r="W11" s="121">
        <f t="shared" si="12"/>
        <v>2.7443199138799201</v>
      </c>
      <c r="X11" s="122">
        <f t="shared" si="13"/>
        <v>11.844636787081985</v>
      </c>
    </row>
    <row r="12" spans="1:26" ht="12" customHeight="1">
      <c r="A12" s="115" t="str">
        <f t="shared" si="0"/>
        <v>A-2-1060</v>
      </c>
      <c r="B12" s="115" t="s">
        <v>55</v>
      </c>
      <c r="C12" s="116">
        <v>2</v>
      </c>
      <c r="D12" s="123">
        <v>1060</v>
      </c>
      <c r="E12" s="124">
        <v>0.09</v>
      </c>
      <c r="F12" s="124">
        <f t="shared" si="1"/>
        <v>1.24</v>
      </c>
      <c r="G12" s="124">
        <f t="shared" si="2"/>
        <v>7.0266666666666655</v>
      </c>
      <c r="H12" s="124">
        <f t="shared" si="3"/>
        <v>5.1066666666666674</v>
      </c>
      <c r="I12" s="124"/>
      <c r="J12" s="124">
        <f t="shared" si="4"/>
        <v>3.1</v>
      </c>
      <c r="K12" s="124"/>
      <c r="L12" s="124">
        <f t="shared" si="5"/>
        <v>2.19</v>
      </c>
      <c r="M12" s="125"/>
      <c r="N12" s="126"/>
      <c r="O12" s="126">
        <f t="shared" si="6"/>
        <v>1.1759999999999999</v>
      </c>
      <c r="P12" s="126"/>
      <c r="Q12" s="127">
        <f t="shared" si="7"/>
        <v>9.5741799531250802</v>
      </c>
      <c r="R12" s="124">
        <f t="shared" si="8"/>
        <v>15.830666666666669</v>
      </c>
      <c r="S12" s="127">
        <f t="shared" si="9"/>
        <v>7.9266666666666659</v>
      </c>
      <c r="T12" s="124">
        <v>0</v>
      </c>
      <c r="U12" s="124">
        <f t="shared" si="10"/>
        <v>5.3066666666666666</v>
      </c>
      <c r="V12" s="122">
        <f t="shared" si="11"/>
        <v>5.3066666666666666</v>
      </c>
      <c r="W12" s="121">
        <f t="shared" si="12"/>
        <v>3.432010234586834</v>
      </c>
      <c r="X12" s="122">
        <f t="shared" si="13"/>
        <v>15.287542735188028</v>
      </c>
    </row>
    <row r="13" spans="1:26" ht="12" customHeight="1">
      <c r="A13" s="147" t="str">
        <f t="shared" si="0"/>
        <v>A-2-1220</v>
      </c>
      <c r="B13" s="147" t="s">
        <v>55</v>
      </c>
      <c r="C13" s="148">
        <v>2</v>
      </c>
      <c r="D13" s="149">
        <v>1220</v>
      </c>
      <c r="E13" s="150">
        <v>0.1</v>
      </c>
      <c r="F13" s="150">
        <f t="shared" si="1"/>
        <v>1.42</v>
      </c>
      <c r="G13" s="150">
        <f t="shared" si="2"/>
        <v>8.0466666666666669</v>
      </c>
      <c r="H13" s="150">
        <f t="shared" si="3"/>
        <v>5.5866666666666669</v>
      </c>
      <c r="I13" s="150"/>
      <c r="J13" s="150">
        <f t="shared" si="4"/>
        <v>3.55</v>
      </c>
      <c r="K13" s="150"/>
      <c r="L13" s="150">
        <f t="shared" si="5"/>
        <v>2.37</v>
      </c>
      <c r="M13" s="151"/>
      <c r="N13" s="152"/>
      <c r="O13" s="152">
        <f t="shared" si="6"/>
        <v>1.248</v>
      </c>
      <c r="P13" s="152"/>
      <c r="Q13" s="153">
        <f t="shared" si="7"/>
        <v>12.309112625867698</v>
      </c>
      <c r="R13" s="150">
        <f t="shared" si="8"/>
        <v>19.832666666666668</v>
      </c>
      <c r="S13" s="153">
        <f t="shared" si="9"/>
        <v>8.9466666666666672</v>
      </c>
      <c r="T13" s="150">
        <v>0</v>
      </c>
      <c r="U13" s="150">
        <f t="shared" si="10"/>
        <v>5.7866666666666671</v>
      </c>
      <c r="V13" s="154">
        <f t="shared" si="11"/>
        <v>5.7866666666666671</v>
      </c>
      <c r="W13" s="155">
        <f t="shared" si="12"/>
        <v>4.190712953317437</v>
      </c>
      <c r="X13" s="154">
        <f t="shared" si="13"/>
        <v>19.29444934299762</v>
      </c>
    </row>
    <row r="14" spans="1:26" ht="12" customHeight="1">
      <c r="A14" s="156" t="str">
        <f t="shared" si="0"/>
        <v>A-3-600</v>
      </c>
      <c r="B14" s="156" t="s">
        <v>55</v>
      </c>
      <c r="C14" s="157">
        <v>3</v>
      </c>
      <c r="D14" s="158">
        <v>600</v>
      </c>
      <c r="E14" s="159">
        <v>0.06</v>
      </c>
      <c r="F14" s="159">
        <f t="shared" si="1"/>
        <v>0.72</v>
      </c>
      <c r="G14" s="159">
        <f t="shared" si="2"/>
        <v>5.28</v>
      </c>
      <c r="H14" s="159">
        <f t="shared" si="3"/>
        <v>4.92</v>
      </c>
      <c r="I14" s="159"/>
      <c r="J14" s="159">
        <f t="shared" si="4"/>
        <v>1.7999999999999998</v>
      </c>
      <c r="K14" s="159"/>
      <c r="L14" s="159">
        <f t="shared" si="5"/>
        <v>1.67</v>
      </c>
      <c r="M14" s="160"/>
      <c r="N14" s="161"/>
      <c r="O14" s="161">
        <f t="shared" si="6"/>
        <v>0.96799999999999997</v>
      </c>
      <c r="P14" s="161"/>
      <c r="Q14" s="162">
        <f t="shared" si="7"/>
        <v>4.8159583241642387</v>
      </c>
      <c r="R14" s="159">
        <f t="shared" si="8"/>
        <v>8.8559999999999999</v>
      </c>
      <c r="S14" s="162">
        <f t="shared" si="9"/>
        <v>6.1800000000000006</v>
      </c>
      <c r="T14" s="159">
        <v>0</v>
      </c>
      <c r="U14" s="159">
        <f t="shared" si="10"/>
        <v>5.12</v>
      </c>
      <c r="V14" s="163">
        <f t="shared" si="11"/>
        <v>5.12</v>
      </c>
      <c r="W14" s="164">
        <f t="shared" si="12"/>
        <v>2.275948776284288</v>
      </c>
      <c r="X14" s="163">
        <f t="shared" si="13"/>
        <v>8.1027487164426439</v>
      </c>
    </row>
    <row r="15" spans="1:26" ht="12" customHeight="1">
      <c r="A15" s="115" t="str">
        <f t="shared" si="0"/>
        <v>A-3-760</v>
      </c>
      <c r="B15" s="115" t="s">
        <v>55</v>
      </c>
      <c r="C15" s="116">
        <v>3</v>
      </c>
      <c r="D15" s="117">
        <v>760</v>
      </c>
      <c r="E15" s="118">
        <v>7.0000000000000007E-2</v>
      </c>
      <c r="F15" s="118">
        <f t="shared" si="1"/>
        <v>0.9</v>
      </c>
      <c r="G15" s="118">
        <f t="shared" si="2"/>
        <v>6.6000000000000014</v>
      </c>
      <c r="H15" s="118">
        <f t="shared" si="3"/>
        <v>5.7</v>
      </c>
      <c r="I15" s="118"/>
      <c r="J15" s="118">
        <f t="shared" si="4"/>
        <v>2.25</v>
      </c>
      <c r="K15" s="118"/>
      <c r="L15" s="118">
        <f t="shared" si="5"/>
        <v>1.85</v>
      </c>
      <c r="M15" s="119"/>
      <c r="N15" s="120"/>
      <c r="O15" s="120">
        <f t="shared" si="6"/>
        <v>1.04</v>
      </c>
      <c r="P15" s="120"/>
      <c r="Q15" s="121">
        <f t="shared" si="7"/>
        <v>6.9019932501726178</v>
      </c>
      <c r="R15" s="118">
        <f t="shared" si="8"/>
        <v>12.825000000000001</v>
      </c>
      <c r="S15" s="121">
        <f t="shared" si="9"/>
        <v>7.5000000000000018</v>
      </c>
      <c r="T15" s="118">
        <v>0</v>
      </c>
      <c r="U15" s="118">
        <f t="shared" si="10"/>
        <v>5.9</v>
      </c>
      <c r="V15" s="122">
        <f t="shared" si="11"/>
        <v>5.9</v>
      </c>
      <c r="W15" s="121">
        <f t="shared" si="12"/>
        <v>3.1314824629442004</v>
      </c>
      <c r="X15" s="122">
        <f t="shared" si="13"/>
        <v>11.205522369441633</v>
      </c>
    </row>
    <row r="16" spans="1:26" ht="12" customHeight="1">
      <c r="A16" s="115" t="str">
        <f t="shared" si="0"/>
        <v>A-3-900</v>
      </c>
      <c r="B16" s="115" t="s">
        <v>55</v>
      </c>
      <c r="C16" s="116">
        <v>3</v>
      </c>
      <c r="D16" s="123">
        <v>900</v>
      </c>
      <c r="E16" s="124">
        <v>0.08</v>
      </c>
      <c r="F16" s="124">
        <f t="shared" si="1"/>
        <v>1.06</v>
      </c>
      <c r="G16" s="124">
        <f t="shared" si="2"/>
        <v>7.7733333333333334</v>
      </c>
      <c r="H16" s="124">
        <f t="shared" si="3"/>
        <v>6.3933333333333335</v>
      </c>
      <c r="I16" s="124"/>
      <c r="J16" s="124">
        <f t="shared" si="4"/>
        <v>2.6500000000000004</v>
      </c>
      <c r="K16" s="124"/>
      <c r="L16" s="124">
        <f t="shared" si="5"/>
        <v>2.0099999999999998</v>
      </c>
      <c r="M16" s="125"/>
      <c r="N16" s="126"/>
      <c r="O16" s="126">
        <f t="shared" si="6"/>
        <v>1.1039999999999999</v>
      </c>
      <c r="P16" s="126"/>
      <c r="Q16" s="127">
        <f t="shared" si="7"/>
        <v>9.1098398693155556</v>
      </c>
      <c r="R16" s="124">
        <f>H16*J16</f>
        <v>16.942333333333337</v>
      </c>
      <c r="S16" s="127">
        <f t="shared" si="9"/>
        <v>8.6733333333333338</v>
      </c>
      <c r="T16" s="124">
        <v>0</v>
      </c>
      <c r="U16" s="124">
        <f t="shared" si="10"/>
        <v>6.5933333333333337</v>
      </c>
      <c r="V16" s="122">
        <f t="shared" si="11"/>
        <v>6.5933333333333337</v>
      </c>
      <c r="W16" s="121">
        <f t="shared" si="12"/>
        <v>3.9995132041532142</v>
      </c>
      <c r="X16" s="122">
        <f t="shared" si="13"/>
        <v>14.484907780622978</v>
      </c>
    </row>
    <row r="17" spans="1:24" ht="12" customHeight="1">
      <c r="A17" s="115" t="str">
        <f t="shared" si="0"/>
        <v>A-3-1060</v>
      </c>
      <c r="B17" s="115" t="s">
        <v>55</v>
      </c>
      <c r="C17" s="116">
        <v>3</v>
      </c>
      <c r="D17" s="123">
        <v>1060</v>
      </c>
      <c r="E17" s="124">
        <v>0.09</v>
      </c>
      <c r="F17" s="124">
        <f t="shared" si="1"/>
        <v>1.24</v>
      </c>
      <c r="G17" s="124">
        <f t="shared" si="2"/>
        <v>9.0933333333333337</v>
      </c>
      <c r="H17" s="124">
        <f t="shared" si="3"/>
        <v>7.1733333333333338</v>
      </c>
      <c r="I17" s="124"/>
      <c r="J17" s="124">
        <f t="shared" si="4"/>
        <v>3.1</v>
      </c>
      <c r="K17" s="124"/>
      <c r="L17" s="124">
        <f t="shared" si="5"/>
        <v>2.19</v>
      </c>
      <c r="M17" s="125"/>
      <c r="N17" s="126"/>
      <c r="O17" s="126">
        <f t="shared" si="6"/>
        <v>1.1759999999999999</v>
      </c>
      <c r="P17" s="126"/>
      <c r="Q17" s="127">
        <f t="shared" si="7"/>
        <v>12.023138329687626</v>
      </c>
      <c r="R17" s="124">
        <f t="shared" si="8"/>
        <v>22.237333333333336</v>
      </c>
      <c r="S17" s="127">
        <f t="shared" si="9"/>
        <v>9.9933333333333341</v>
      </c>
      <c r="T17" s="124">
        <v>0</v>
      </c>
      <c r="U17" s="124">
        <f t="shared" si="10"/>
        <v>7.3733333333333331</v>
      </c>
      <c r="V17" s="122">
        <f t="shared" si="11"/>
        <v>7.3733333333333331</v>
      </c>
      <c r="W17" s="121">
        <f t="shared" si="12"/>
        <v>5.0970486852135846</v>
      </c>
      <c r="X17" s="122">
        <f t="shared" si="13"/>
        <v>18.80742650278204</v>
      </c>
    </row>
    <row r="18" spans="1:24" ht="12" customHeight="1" thickBot="1">
      <c r="A18" s="165" t="str">
        <f t="shared" si="0"/>
        <v>A-3-1220</v>
      </c>
      <c r="B18" s="165" t="s">
        <v>55</v>
      </c>
      <c r="C18" s="166">
        <v>3</v>
      </c>
      <c r="D18" s="167">
        <v>1220</v>
      </c>
      <c r="E18" s="168">
        <v>0.1</v>
      </c>
      <c r="F18" s="168">
        <f t="shared" si="1"/>
        <v>1.42</v>
      </c>
      <c r="G18" s="168">
        <f t="shared" si="2"/>
        <v>10.413333333333334</v>
      </c>
      <c r="H18" s="168">
        <f t="shared" si="3"/>
        <v>7.953333333333334</v>
      </c>
      <c r="I18" s="168"/>
      <c r="J18" s="168">
        <f t="shared" si="4"/>
        <v>3.55</v>
      </c>
      <c r="K18" s="168"/>
      <c r="L18" s="168">
        <f t="shared" si="5"/>
        <v>2.37</v>
      </c>
      <c r="M18" s="169"/>
      <c r="N18" s="170"/>
      <c r="O18" s="170">
        <f t="shared" si="6"/>
        <v>1.248</v>
      </c>
      <c r="P18" s="170"/>
      <c r="Q18" s="171">
        <f t="shared" si="7"/>
        <v>15.424712738801546</v>
      </c>
      <c r="R18" s="168">
        <f t="shared" si="8"/>
        <v>28.234333333333336</v>
      </c>
      <c r="S18" s="171">
        <f t="shared" si="9"/>
        <v>11.313333333333334</v>
      </c>
      <c r="T18" s="168">
        <v>0</v>
      </c>
      <c r="U18" s="168">
        <f t="shared" si="10"/>
        <v>8.1533333333333324</v>
      </c>
      <c r="V18" s="172">
        <f t="shared" si="11"/>
        <v>8.1533333333333324</v>
      </c>
      <c r="W18" s="173">
        <f t="shared" si="12"/>
        <v>6.3227027633094872</v>
      </c>
      <c r="X18" s="172">
        <f>((O18+0.45)*(L18-0.15)+0.2*0.45)*(G18+0.9)-C18*(O18+0.45-(O18+0.3)/2)*PI()*F18^2/4-Q18</f>
        <v>23.849823814496432</v>
      </c>
    </row>
    <row r="19" spans="1:24" ht="12" customHeight="1">
      <c r="A19" s="106" t="str">
        <f t="shared" si="0"/>
        <v>B-1-600</v>
      </c>
      <c r="B19" s="106" t="s">
        <v>50</v>
      </c>
      <c r="C19" s="107">
        <v>1</v>
      </c>
      <c r="D19" s="108">
        <v>600</v>
      </c>
      <c r="E19" s="109">
        <v>0.06</v>
      </c>
      <c r="F19" s="109">
        <f t="shared" si="1"/>
        <v>0.72</v>
      </c>
      <c r="G19" s="109">
        <f>1.5*F19+C19*F19+(C19-1)*2*F19/3+P19</f>
        <v>2.6280000000000001</v>
      </c>
      <c r="H19" s="109">
        <f>1.5*F19+C19*F19+(C19-1)*2*F19/3</f>
        <v>1.8</v>
      </c>
      <c r="I19" s="109">
        <f>0.9+C19*F19+(C19-1)*2*F19/3</f>
        <v>1.62</v>
      </c>
      <c r="J19" s="109">
        <f>O19+F19+1</f>
        <v>2.6879999999999997</v>
      </c>
      <c r="K19" s="109">
        <f>F19+1</f>
        <v>1.72</v>
      </c>
      <c r="L19" s="109">
        <f t="shared" si="5"/>
        <v>1.67</v>
      </c>
      <c r="M19" s="110">
        <f>L19-0.35</f>
        <v>1.3199999999999998</v>
      </c>
      <c r="N19" s="111"/>
      <c r="O19" s="111">
        <f t="shared" si="6"/>
        <v>0.96799999999999997</v>
      </c>
      <c r="P19" s="111">
        <f>0.3+0.4*M19</f>
        <v>0.82799999999999985</v>
      </c>
      <c r="Q19" s="112">
        <f>(G19+H19)/2*(0.3+O19)/2*L19+(J19+K19)/2*(0.3+P19)/2*M19-C19*((0.3+O19)/2)*PI()*F19^2/4</f>
        <v>3.7268394813880787</v>
      </c>
      <c r="R19" s="109">
        <f>(F19+1-0.3)*(C19*F19+(C19-1)*2*F19/3+0.9)</f>
        <v>2.3004000000000002</v>
      </c>
      <c r="S19" s="112">
        <f>0.9+(G19+H19)/2</f>
        <v>3.1139999999999999</v>
      </c>
      <c r="T19" s="109">
        <f>0.9+P19</f>
        <v>1.7279999999999998</v>
      </c>
      <c r="U19" s="109">
        <f>I19</f>
        <v>1.62</v>
      </c>
      <c r="V19" s="113">
        <f>I19</f>
        <v>1.62</v>
      </c>
      <c r="W19" s="114">
        <f t="shared" si="12"/>
        <v>1.0022495920947629</v>
      </c>
      <c r="X19" s="113">
        <f>((O19+0.45)*(L19-0.15)+0.2*0.45)*((G19+H19)/2+0.9)+((P19+0.45)*(M19-0.15)+0.2*0.45)*((J19+K19)/2+0.45)-C19*(O19+0.45-(O19+0.3)/2)*PI()*F19^2/4-Q19</f>
        <v>7.1532856788142114</v>
      </c>
    </row>
    <row r="20" spans="1:24" ht="12" customHeight="1">
      <c r="A20" s="115" t="str">
        <f t="shared" si="0"/>
        <v>B-1-760</v>
      </c>
      <c r="B20" s="115" t="s">
        <v>50</v>
      </c>
      <c r="C20" s="116">
        <v>1</v>
      </c>
      <c r="D20" s="117">
        <v>760</v>
      </c>
      <c r="E20" s="118">
        <v>7.0000000000000007E-2</v>
      </c>
      <c r="F20" s="118">
        <f t="shared" si="1"/>
        <v>0.9</v>
      </c>
      <c r="G20" s="118">
        <f t="shared" ref="G20:G33" si="14">1.5*F20+C20*F20+(C20-1)*2*F20/3+P20</f>
        <v>3.1500000000000004</v>
      </c>
      <c r="H20" s="118">
        <f t="shared" ref="H20:H33" si="15">1.5*F20+C20*F20+(C20-1)*2*F20/3</f>
        <v>2.25</v>
      </c>
      <c r="I20" s="118">
        <f t="shared" ref="I20:I33" si="16">0.9+C20*F20+(C20-1)*2*F20/3</f>
        <v>1.8</v>
      </c>
      <c r="J20" s="118">
        <f t="shared" ref="J20:J33" si="17">O20+F20+1</f>
        <v>2.94</v>
      </c>
      <c r="K20" s="118">
        <f t="shared" ref="K20:K33" si="18">F20+1</f>
        <v>1.9</v>
      </c>
      <c r="L20" s="118">
        <f t="shared" si="5"/>
        <v>1.85</v>
      </c>
      <c r="M20" s="119">
        <f t="shared" ref="M20:M48" si="19">L20-0.35</f>
        <v>1.5</v>
      </c>
      <c r="N20" s="120"/>
      <c r="O20" s="120">
        <f t="shared" si="6"/>
        <v>1.04</v>
      </c>
      <c r="P20" s="120">
        <f t="shared" si="6"/>
        <v>0.90000000000000013</v>
      </c>
      <c r="Q20" s="121">
        <f t="shared" ref="Q20:Q33" si="20">(G20+H20)/2*(0.3+O20)/2*L20+(J20+K20)/2*(0.3+P20)/2*M20-C20*((0.3+O20)/2)*PI()*F20^2/4</f>
        <v>5.0984144167242063</v>
      </c>
      <c r="R20" s="118">
        <f t="shared" ref="R20:R33" si="21">(F20+1-0.3)*(C20*F20+(C20-1)*2*F20/3+0.9)</f>
        <v>2.88</v>
      </c>
      <c r="S20" s="121">
        <f t="shared" ref="S20:S33" si="22">0.9+(G20+H20)/2</f>
        <v>3.6</v>
      </c>
      <c r="T20" s="118">
        <f t="shared" ref="T20:T33" si="23">0.9+P20</f>
        <v>1.8000000000000003</v>
      </c>
      <c r="U20" s="118">
        <f t="shared" ref="U20:U33" si="24">I20</f>
        <v>1.8</v>
      </c>
      <c r="V20" s="122">
        <f t="shared" ref="V20:V33" si="25">I20</f>
        <v>1.8</v>
      </c>
      <c r="W20" s="121">
        <f t="shared" si="12"/>
        <v>1.2538274876480671</v>
      </c>
      <c r="X20" s="122">
        <f t="shared" ref="X20:X33" si="26">((O20+0.45)*(L20-0.15)+0.2*0.45)*((G20+H20)/2+0.9)+((P20+0.45)*(M20-0.15)+0.2*0.45)*((J20+K20)/2+0.45)-C20*(O20+0.45-(O20+0.3)/2)*PI()*F20^2/4-Q20</f>
        <v>9.3115991231472108</v>
      </c>
    </row>
    <row r="21" spans="1:24" ht="12" customHeight="1">
      <c r="A21" s="115" t="str">
        <f t="shared" si="0"/>
        <v>B-1-900</v>
      </c>
      <c r="B21" s="115" t="s">
        <v>50</v>
      </c>
      <c r="C21" s="116">
        <v>1</v>
      </c>
      <c r="D21" s="123">
        <v>900</v>
      </c>
      <c r="E21" s="124">
        <v>0.08</v>
      </c>
      <c r="F21" s="124">
        <f t="shared" si="1"/>
        <v>1.06</v>
      </c>
      <c r="G21" s="124">
        <f t="shared" si="14"/>
        <v>3.6140000000000003</v>
      </c>
      <c r="H21" s="124">
        <f t="shared" si="15"/>
        <v>2.6500000000000004</v>
      </c>
      <c r="I21" s="124">
        <f t="shared" si="16"/>
        <v>1.96</v>
      </c>
      <c r="J21" s="124">
        <f t="shared" si="17"/>
        <v>3.1639999999999997</v>
      </c>
      <c r="K21" s="124">
        <f t="shared" si="18"/>
        <v>2.06</v>
      </c>
      <c r="L21" s="124">
        <f t="shared" si="5"/>
        <v>2.0099999999999998</v>
      </c>
      <c r="M21" s="125">
        <f t="shared" si="19"/>
        <v>1.6599999999999997</v>
      </c>
      <c r="N21" s="126"/>
      <c r="O21" s="126">
        <f t="shared" si="6"/>
        <v>1.1039999999999999</v>
      </c>
      <c r="P21" s="126">
        <f t="shared" si="6"/>
        <v>0.96399999999999997</v>
      </c>
      <c r="Q21" s="127">
        <f t="shared" si="20"/>
        <v>6.5401197697718523</v>
      </c>
      <c r="R21" s="124">
        <f t="shared" si="21"/>
        <v>3.4495999999999998</v>
      </c>
      <c r="S21" s="127">
        <f t="shared" si="22"/>
        <v>4.0320000000000009</v>
      </c>
      <c r="T21" s="124">
        <f t="shared" si="23"/>
        <v>1.8639999999999999</v>
      </c>
      <c r="U21" s="124">
        <f t="shared" si="24"/>
        <v>1.96</v>
      </c>
      <c r="V21" s="122">
        <f t="shared" si="25"/>
        <v>1.96</v>
      </c>
      <c r="W21" s="121">
        <f t="shared" si="12"/>
        <v>1.489126623606627</v>
      </c>
      <c r="X21" s="122">
        <f t="shared" si="26"/>
        <v>11.538525673540992</v>
      </c>
    </row>
    <row r="22" spans="1:24" ht="12" customHeight="1">
      <c r="A22" s="115" t="str">
        <f t="shared" si="0"/>
        <v>B-1-1060</v>
      </c>
      <c r="B22" s="115" t="s">
        <v>50</v>
      </c>
      <c r="C22" s="116">
        <v>1</v>
      </c>
      <c r="D22" s="123">
        <v>1060</v>
      </c>
      <c r="E22" s="124">
        <v>0.09</v>
      </c>
      <c r="F22" s="124">
        <f t="shared" si="1"/>
        <v>1.24</v>
      </c>
      <c r="G22" s="124">
        <f t="shared" si="14"/>
        <v>4.1359999999999992</v>
      </c>
      <c r="H22" s="124">
        <f t="shared" si="15"/>
        <v>3.0999999999999996</v>
      </c>
      <c r="I22" s="124">
        <f t="shared" si="16"/>
        <v>2.14</v>
      </c>
      <c r="J22" s="124">
        <f t="shared" si="17"/>
        <v>3.4159999999999999</v>
      </c>
      <c r="K22" s="124">
        <f t="shared" si="18"/>
        <v>2.2400000000000002</v>
      </c>
      <c r="L22" s="124">
        <f t="shared" si="5"/>
        <v>2.19</v>
      </c>
      <c r="M22" s="125">
        <f t="shared" si="19"/>
        <v>1.8399999999999999</v>
      </c>
      <c r="N22" s="126"/>
      <c r="O22" s="126">
        <f t="shared" si="6"/>
        <v>1.1759999999999999</v>
      </c>
      <c r="P22" s="126">
        <f t="shared" si="6"/>
        <v>1.036</v>
      </c>
      <c r="Q22" s="127">
        <f t="shared" si="20"/>
        <v>8.4322056965625407</v>
      </c>
      <c r="R22" s="124">
        <f t="shared" si="21"/>
        <v>4.1516000000000002</v>
      </c>
      <c r="S22" s="127">
        <f t="shared" si="22"/>
        <v>4.5179999999999998</v>
      </c>
      <c r="T22" s="124">
        <f t="shared" si="23"/>
        <v>1.9359999999999999</v>
      </c>
      <c r="U22" s="124">
        <f t="shared" si="24"/>
        <v>2.14</v>
      </c>
      <c r="V22" s="122">
        <f t="shared" si="25"/>
        <v>2.14</v>
      </c>
      <c r="W22" s="121">
        <f t="shared" si="12"/>
        <v>1.7669717839600836</v>
      </c>
      <c r="X22" s="122">
        <f t="shared" si="26"/>
        <v>14.415619687594013</v>
      </c>
    </row>
    <row r="23" spans="1:24" ht="12" customHeight="1">
      <c r="A23" s="129" t="str">
        <f t="shared" si="0"/>
        <v>B-1-1220</v>
      </c>
      <c r="B23" s="129" t="s">
        <v>50</v>
      </c>
      <c r="C23" s="130">
        <v>1</v>
      </c>
      <c r="D23" s="131">
        <v>1220</v>
      </c>
      <c r="E23" s="132">
        <v>0.1</v>
      </c>
      <c r="F23" s="132">
        <f t="shared" si="1"/>
        <v>1.42</v>
      </c>
      <c r="G23" s="132">
        <f t="shared" si="14"/>
        <v>4.6579999999999995</v>
      </c>
      <c r="H23" s="132">
        <f t="shared" si="15"/>
        <v>3.55</v>
      </c>
      <c r="I23" s="132">
        <f t="shared" si="16"/>
        <v>2.3199999999999998</v>
      </c>
      <c r="J23" s="132">
        <f t="shared" si="17"/>
        <v>3.6680000000000001</v>
      </c>
      <c r="K23" s="132">
        <f t="shared" si="18"/>
        <v>2.42</v>
      </c>
      <c r="L23" s="132">
        <f t="shared" si="5"/>
        <v>2.37</v>
      </c>
      <c r="M23" s="133">
        <f t="shared" si="19"/>
        <v>2.02</v>
      </c>
      <c r="N23" s="134"/>
      <c r="O23" s="134">
        <f t="shared" si="6"/>
        <v>1.248</v>
      </c>
      <c r="P23" s="134">
        <f t="shared" si="6"/>
        <v>1.1080000000000001</v>
      </c>
      <c r="Q23" s="135">
        <f t="shared" si="20"/>
        <v>10.631341152933848</v>
      </c>
      <c r="R23" s="132">
        <f t="shared" si="21"/>
        <v>4.9184000000000001</v>
      </c>
      <c r="S23" s="135">
        <f t="shared" si="22"/>
        <v>5.0039999999999996</v>
      </c>
      <c r="T23" s="132">
        <f t="shared" si="23"/>
        <v>2.008</v>
      </c>
      <c r="U23" s="132">
        <f t="shared" si="24"/>
        <v>2.3199999999999998</v>
      </c>
      <c r="V23" s="136">
        <f t="shared" si="25"/>
        <v>2.3199999999999998</v>
      </c>
      <c r="W23" s="137">
        <f t="shared" si="12"/>
        <v>2.058723143325385</v>
      </c>
      <c r="X23" s="136">
        <f t="shared" si="26"/>
        <v>17.71266891149881</v>
      </c>
    </row>
    <row r="24" spans="1:24" ht="12" customHeight="1">
      <c r="A24" s="138" t="str">
        <f t="shared" si="0"/>
        <v>B-2-600</v>
      </c>
      <c r="B24" s="138" t="s">
        <v>50</v>
      </c>
      <c r="C24" s="139">
        <v>2</v>
      </c>
      <c r="D24" s="140">
        <v>600</v>
      </c>
      <c r="E24" s="141">
        <v>0.06</v>
      </c>
      <c r="F24" s="141">
        <f t="shared" si="1"/>
        <v>0.72</v>
      </c>
      <c r="G24" s="141">
        <f t="shared" si="14"/>
        <v>3.8279999999999998</v>
      </c>
      <c r="H24" s="141">
        <f t="shared" si="15"/>
        <v>3</v>
      </c>
      <c r="I24" s="141">
        <f t="shared" si="16"/>
        <v>2.82</v>
      </c>
      <c r="J24" s="141">
        <f t="shared" si="17"/>
        <v>2.6879999999999997</v>
      </c>
      <c r="K24" s="141">
        <f t="shared" si="18"/>
        <v>1.72</v>
      </c>
      <c r="L24" s="141">
        <f t="shared" si="5"/>
        <v>1.67</v>
      </c>
      <c r="M24" s="142">
        <f t="shared" si="19"/>
        <v>1.3199999999999998</v>
      </c>
      <c r="N24" s="143"/>
      <c r="O24" s="143">
        <f t="shared" si="6"/>
        <v>0.96799999999999997</v>
      </c>
      <c r="P24" s="143">
        <f t="shared" si="6"/>
        <v>0.82799999999999985</v>
      </c>
      <c r="Q24" s="144">
        <f t="shared" si="20"/>
        <v>4.7392421227761581</v>
      </c>
      <c r="R24" s="141">
        <f t="shared" si="21"/>
        <v>4.0043999999999995</v>
      </c>
      <c r="S24" s="144">
        <f t="shared" si="22"/>
        <v>4.3140000000000001</v>
      </c>
      <c r="T24" s="141">
        <f t="shared" si="23"/>
        <v>1.7279999999999998</v>
      </c>
      <c r="U24" s="141">
        <f t="shared" si="24"/>
        <v>2.82</v>
      </c>
      <c r="V24" s="145">
        <f t="shared" si="25"/>
        <v>2.82</v>
      </c>
      <c r="W24" s="146">
        <f t="shared" si="12"/>
        <v>1.6390991841895255</v>
      </c>
      <c r="X24" s="145">
        <f t="shared" si="26"/>
        <v>8.516109117628428</v>
      </c>
    </row>
    <row r="25" spans="1:24" ht="12" customHeight="1">
      <c r="A25" s="115" t="str">
        <f t="shared" si="0"/>
        <v>B-2-760</v>
      </c>
      <c r="B25" s="115" t="s">
        <v>50</v>
      </c>
      <c r="C25" s="116">
        <v>2</v>
      </c>
      <c r="D25" s="117">
        <v>760</v>
      </c>
      <c r="E25" s="118">
        <v>7.0000000000000007E-2</v>
      </c>
      <c r="F25" s="118">
        <f t="shared" si="1"/>
        <v>0.9</v>
      </c>
      <c r="G25" s="118">
        <f t="shared" si="14"/>
        <v>4.6500000000000004</v>
      </c>
      <c r="H25" s="118">
        <f t="shared" si="15"/>
        <v>3.7500000000000004</v>
      </c>
      <c r="I25" s="118">
        <f t="shared" si="16"/>
        <v>3.3000000000000003</v>
      </c>
      <c r="J25" s="118">
        <f t="shared" si="17"/>
        <v>2.94</v>
      </c>
      <c r="K25" s="118">
        <f t="shared" si="18"/>
        <v>1.9</v>
      </c>
      <c r="L25" s="118">
        <f t="shared" si="5"/>
        <v>1.85</v>
      </c>
      <c r="M25" s="119">
        <f t="shared" si="19"/>
        <v>1.5</v>
      </c>
      <c r="N25" s="120"/>
      <c r="O25" s="120">
        <f t="shared" si="6"/>
        <v>1.04</v>
      </c>
      <c r="P25" s="120">
        <f t="shared" si="6"/>
        <v>0.90000000000000013</v>
      </c>
      <c r="Q25" s="121">
        <f t="shared" si="20"/>
        <v>6.5314288334484116</v>
      </c>
      <c r="R25" s="118">
        <f t="shared" si="21"/>
        <v>5.2799999999999994</v>
      </c>
      <c r="S25" s="121">
        <f t="shared" si="22"/>
        <v>5.1000000000000005</v>
      </c>
      <c r="T25" s="118">
        <f t="shared" si="23"/>
        <v>1.8000000000000003</v>
      </c>
      <c r="U25" s="118">
        <f t="shared" si="24"/>
        <v>3.3000000000000003</v>
      </c>
      <c r="V25" s="122">
        <f t="shared" si="25"/>
        <v>3.3000000000000003</v>
      </c>
      <c r="W25" s="121">
        <f t="shared" si="12"/>
        <v>2.1926549752961337</v>
      </c>
      <c r="X25" s="122">
        <f t="shared" si="26"/>
        <v>11.291423246294418</v>
      </c>
    </row>
    <row r="26" spans="1:24" ht="12" customHeight="1">
      <c r="A26" s="115" t="str">
        <f t="shared" si="0"/>
        <v>B-2-900</v>
      </c>
      <c r="B26" s="115" t="s">
        <v>50</v>
      </c>
      <c r="C26" s="116">
        <v>2</v>
      </c>
      <c r="D26" s="123">
        <v>900</v>
      </c>
      <c r="E26" s="124">
        <v>0.08</v>
      </c>
      <c r="F26" s="124">
        <f t="shared" si="1"/>
        <v>1.06</v>
      </c>
      <c r="G26" s="124">
        <f t="shared" si="14"/>
        <v>5.3806666666666665</v>
      </c>
      <c r="H26" s="124">
        <f t="shared" si="15"/>
        <v>4.416666666666667</v>
      </c>
      <c r="I26" s="124">
        <f t="shared" si="16"/>
        <v>3.7266666666666666</v>
      </c>
      <c r="J26" s="124">
        <f t="shared" si="17"/>
        <v>3.1639999999999997</v>
      </c>
      <c r="K26" s="124">
        <f t="shared" si="18"/>
        <v>2.06</v>
      </c>
      <c r="L26" s="124">
        <f t="shared" si="5"/>
        <v>2.0099999999999998</v>
      </c>
      <c r="M26" s="125">
        <f t="shared" si="19"/>
        <v>1.6599999999999997</v>
      </c>
      <c r="N26" s="126"/>
      <c r="O26" s="126">
        <f t="shared" si="6"/>
        <v>1.1039999999999999</v>
      </c>
      <c r="P26" s="126">
        <f t="shared" si="6"/>
        <v>0.96399999999999997</v>
      </c>
      <c r="Q26" s="127">
        <f t="shared" si="20"/>
        <v>8.4134254595437046</v>
      </c>
      <c r="R26" s="124">
        <f t="shared" si="21"/>
        <v>6.5589333333333331</v>
      </c>
      <c r="S26" s="127">
        <f t="shared" si="22"/>
        <v>5.7986666666666675</v>
      </c>
      <c r="T26" s="124">
        <f t="shared" si="23"/>
        <v>1.8639999999999999</v>
      </c>
      <c r="U26" s="124">
        <f t="shared" si="24"/>
        <v>3.7266666666666666</v>
      </c>
      <c r="V26" s="122">
        <f t="shared" si="25"/>
        <v>3.7266666666666666</v>
      </c>
      <c r="W26" s="121">
        <f t="shared" si="12"/>
        <v>2.7443199138799201</v>
      </c>
      <c r="X26" s="122">
        <f t="shared" si="26"/>
        <v>14.178796667081984</v>
      </c>
    </row>
    <row r="27" spans="1:24" ht="12" customHeight="1">
      <c r="A27" s="115" t="str">
        <f t="shared" si="0"/>
        <v>B-2-1060</v>
      </c>
      <c r="B27" s="115" t="s">
        <v>50</v>
      </c>
      <c r="C27" s="116">
        <v>2</v>
      </c>
      <c r="D27" s="123">
        <v>1060</v>
      </c>
      <c r="E27" s="124">
        <v>0.09</v>
      </c>
      <c r="F27" s="124">
        <f t="shared" si="1"/>
        <v>1.24</v>
      </c>
      <c r="G27" s="124">
        <f t="shared" si="14"/>
        <v>6.2026666666666657</v>
      </c>
      <c r="H27" s="124">
        <f t="shared" si="15"/>
        <v>5.1666666666666661</v>
      </c>
      <c r="I27" s="124">
        <f t="shared" si="16"/>
        <v>4.206666666666667</v>
      </c>
      <c r="J27" s="124">
        <f t="shared" si="17"/>
        <v>3.4159999999999999</v>
      </c>
      <c r="K27" s="124">
        <f t="shared" si="18"/>
        <v>2.2400000000000002</v>
      </c>
      <c r="L27" s="124">
        <f t="shared" si="5"/>
        <v>2.19</v>
      </c>
      <c r="M27" s="125">
        <f t="shared" si="19"/>
        <v>1.8399999999999999</v>
      </c>
      <c r="N27" s="126"/>
      <c r="O27" s="126">
        <f t="shared" si="6"/>
        <v>1.1759999999999999</v>
      </c>
      <c r="P27" s="126">
        <f t="shared" si="6"/>
        <v>1.036</v>
      </c>
      <c r="Q27" s="127">
        <f t="shared" si="20"/>
        <v>10.881164073125081</v>
      </c>
      <c r="R27" s="124">
        <f t="shared" si="21"/>
        <v>8.1609333333333343</v>
      </c>
      <c r="S27" s="127">
        <f t="shared" si="22"/>
        <v>6.5846666666666662</v>
      </c>
      <c r="T27" s="124">
        <f t="shared" si="23"/>
        <v>1.9359999999999999</v>
      </c>
      <c r="U27" s="124">
        <f t="shared" si="24"/>
        <v>4.206666666666667</v>
      </c>
      <c r="V27" s="122">
        <f t="shared" si="25"/>
        <v>4.206666666666667</v>
      </c>
      <c r="W27" s="121">
        <f t="shared" si="12"/>
        <v>3.432010234586834</v>
      </c>
      <c r="X27" s="122">
        <f t="shared" si="26"/>
        <v>17.935503455188023</v>
      </c>
    </row>
    <row r="28" spans="1:24" ht="12" customHeight="1">
      <c r="A28" s="147" t="str">
        <f t="shared" si="0"/>
        <v>B-2-1220</v>
      </c>
      <c r="B28" s="147" t="s">
        <v>50</v>
      </c>
      <c r="C28" s="148">
        <v>2</v>
      </c>
      <c r="D28" s="149">
        <v>1220</v>
      </c>
      <c r="E28" s="150">
        <v>0.1</v>
      </c>
      <c r="F28" s="150">
        <f t="shared" si="1"/>
        <v>1.42</v>
      </c>
      <c r="G28" s="150">
        <f t="shared" si="14"/>
        <v>7.0246666666666666</v>
      </c>
      <c r="H28" s="150">
        <f t="shared" si="15"/>
        <v>5.9166666666666661</v>
      </c>
      <c r="I28" s="150">
        <f t="shared" si="16"/>
        <v>4.6866666666666665</v>
      </c>
      <c r="J28" s="150">
        <f t="shared" si="17"/>
        <v>3.6680000000000001</v>
      </c>
      <c r="K28" s="150">
        <f t="shared" si="18"/>
        <v>2.42</v>
      </c>
      <c r="L28" s="150">
        <f t="shared" si="5"/>
        <v>2.37</v>
      </c>
      <c r="M28" s="151">
        <f t="shared" si="19"/>
        <v>2.02</v>
      </c>
      <c r="N28" s="152"/>
      <c r="O28" s="152">
        <f t="shared" si="6"/>
        <v>1.248</v>
      </c>
      <c r="P28" s="152">
        <f t="shared" si="6"/>
        <v>1.1080000000000001</v>
      </c>
      <c r="Q28" s="153">
        <f t="shared" si="20"/>
        <v>13.746941265867695</v>
      </c>
      <c r="R28" s="150">
        <f t="shared" si="21"/>
        <v>9.9357333333333333</v>
      </c>
      <c r="S28" s="153">
        <f t="shared" si="22"/>
        <v>7.3706666666666667</v>
      </c>
      <c r="T28" s="150">
        <f t="shared" si="23"/>
        <v>2.008</v>
      </c>
      <c r="U28" s="150">
        <f t="shared" si="24"/>
        <v>4.6866666666666665</v>
      </c>
      <c r="V28" s="154">
        <f t="shared" si="25"/>
        <v>4.6866666666666665</v>
      </c>
      <c r="W28" s="155">
        <f t="shared" si="12"/>
        <v>4.190712953317437</v>
      </c>
      <c r="X28" s="154">
        <f t="shared" si="26"/>
        <v>22.268043382997618</v>
      </c>
    </row>
    <row r="29" spans="1:24" ht="12" customHeight="1">
      <c r="A29" s="156" t="str">
        <f t="shared" si="0"/>
        <v>B-3-600</v>
      </c>
      <c r="B29" s="156" t="s">
        <v>50</v>
      </c>
      <c r="C29" s="157">
        <v>3</v>
      </c>
      <c r="D29" s="158">
        <v>600</v>
      </c>
      <c r="E29" s="159">
        <v>0.06</v>
      </c>
      <c r="F29" s="159">
        <f t="shared" si="1"/>
        <v>0.72</v>
      </c>
      <c r="G29" s="159">
        <f t="shared" si="14"/>
        <v>5.0280000000000005</v>
      </c>
      <c r="H29" s="159">
        <f t="shared" si="15"/>
        <v>4.2</v>
      </c>
      <c r="I29" s="159">
        <f t="shared" si="16"/>
        <v>4.0199999999999996</v>
      </c>
      <c r="J29" s="159">
        <f t="shared" si="17"/>
        <v>2.6879999999999997</v>
      </c>
      <c r="K29" s="159">
        <f t="shared" si="18"/>
        <v>1.72</v>
      </c>
      <c r="L29" s="159">
        <f t="shared" si="5"/>
        <v>1.67</v>
      </c>
      <c r="M29" s="160">
        <f t="shared" si="19"/>
        <v>1.3199999999999998</v>
      </c>
      <c r="N29" s="161"/>
      <c r="O29" s="161">
        <f t="shared" si="6"/>
        <v>0.96799999999999997</v>
      </c>
      <c r="P29" s="161">
        <f t="shared" si="6"/>
        <v>0.82799999999999985</v>
      </c>
      <c r="Q29" s="162">
        <f t="shared" si="20"/>
        <v>5.7516447641642383</v>
      </c>
      <c r="R29" s="159">
        <f t="shared" si="21"/>
        <v>5.7084000000000001</v>
      </c>
      <c r="S29" s="162">
        <f t="shared" si="22"/>
        <v>5.5140000000000011</v>
      </c>
      <c r="T29" s="159">
        <f t="shared" si="23"/>
        <v>1.7279999999999998</v>
      </c>
      <c r="U29" s="159">
        <f t="shared" si="24"/>
        <v>4.0199999999999996</v>
      </c>
      <c r="V29" s="163">
        <f t="shared" si="25"/>
        <v>4.0199999999999996</v>
      </c>
      <c r="W29" s="164">
        <f t="shared" si="12"/>
        <v>2.275948776284288</v>
      </c>
      <c r="X29" s="163">
        <f t="shared" si="26"/>
        <v>9.878932556442642</v>
      </c>
    </row>
    <row r="30" spans="1:24" ht="12" customHeight="1">
      <c r="A30" s="115" t="str">
        <f t="shared" si="0"/>
        <v>B-3-760</v>
      </c>
      <c r="B30" s="115" t="s">
        <v>50</v>
      </c>
      <c r="C30" s="116">
        <v>3</v>
      </c>
      <c r="D30" s="117">
        <v>760</v>
      </c>
      <c r="E30" s="118">
        <v>7.0000000000000007E-2</v>
      </c>
      <c r="F30" s="118">
        <f t="shared" si="1"/>
        <v>0.9</v>
      </c>
      <c r="G30" s="118">
        <f t="shared" si="14"/>
        <v>6.1500000000000012</v>
      </c>
      <c r="H30" s="118">
        <f t="shared" si="15"/>
        <v>5.2500000000000009</v>
      </c>
      <c r="I30" s="118">
        <f t="shared" si="16"/>
        <v>4.8</v>
      </c>
      <c r="J30" s="118">
        <f t="shared" si="17"/>
        <v>2.94</v>
      </c>
      <c r="K30" s="118">
        <f t="shared" si="18"/>
        <v>1.9</v>
      </c>
      <c r="L30" s="118">
        <f t="shared" si="5"/>
        <v>1.85</v>
      </c>
      <c r="M30" s="119">
        <f t="shared" si="19"/>
        <v>1.5</v>
      </c>
      <c r="N30" s="120"/>
      <c r="O30" s="120">
        <f t="shared" si="6"/>
        <v>1.04</v>
      </c>
      <c r="P30" s="120">
        <f t="shared" si="6"/>
        <v>0.90000000000000013</v>
      </c>
      <c r="Q30" s="121">
        <f t="shared" si="20"/>
        <v>7.9644432501726161</v>
      </c>
      <c r="R30" s="118">
        <f t="shared" si="21"/>
        <v>7.6800000000000006</v>
      </c>
      <c r="S30" s="121">
        <f t="shared" si="22"/>
        <v>6.6000000000000014</v>
      </c>
      <c r="T30" s="118">
        <f t="shared" si="23"/>
        <v>1.8000000000000003</v>
      </c>
      <c r="U30" s="118">
        <f t="shared" si="24"/>
        <v>4.8</v>
      </c>
      <c r="V30" s="122">
        <f t="shared" si="25"/>
        <v>4.8</v>
      </c>
      <c r="W30" s="121">
        <f t="shared" si="12"/>
        <v>3.1314824629442004</v>
      </c>
      <c r="X30" s="122">
        <f t="shared" si="26"/>
        <v>13.271247369441634</v>
      </c>
    </row>
    <row r="31" spans="1:24" ht="12" customHeight="1">
      <c r="A31" s="115" t="str">
        <f t="shared" si="0"/>
        <v>B-3-900</v>
      </c>
      <c r="B31" s="115" t="s">
        <v>50</v>
      </c>
      <c r="C31" s="116">
        <v>3</v>
      </c>
      <c r="D31" s="123">
        <v>900</v>
      </c>
      <c r="E31" s="124">
        <v>0.08</v>
      </c>
      <c r="F31" s="124">
        <f t="shared" si="1"/>
        <v>1.06</v>
      </c>
      <c r="G31" s="124">
        <f t="shared" si="14"/>
        <v>7.147333333333334</v>
      </c>
      <c r="H31" s="124">
        <f t="shared" si="15"/>
        <v>6.1833333333333336</v>
      </c>
      <c r="I31" s="124">
        <f t="shared" si="16"/>
        <v>5.4933333333333332</v>
      </c>
      <c r="J31" s="124">
        <f t="shared" si="17"/>
        <v>3.1639999999999997</v>
      </c>
      <c r="K31" s="124">
        <f t="shared" si="18"/>
        <v>2.06</v>
      </c>
      <c r="L31" s="124">
        <f t="shared" si="5"/>
        <v>2.0099999999999998</v>
      </c>
      <c r="M31" s="125">
        <f t="shared" si="19"/>
        <v>1.6599999999999997</v>
      </c>
      <c r="N31" s="126"/>
      <c r="O31" s="126">
        <f t="shared" si="6"/>
        <v>1.1039999999999999</v>
      </c>
      <c r="P31" s="126">
        <f t="shared" si="6"/>
        <v>0.96399999999999997</v>
      </c>
      <c r="Q31" s="127">
        <f t="shared" si="20"/>
        <v>10.286731149315557</v>
      </c>
      <c r="R31" s="124">
        <f t="shared" si="21"/>
        <v>9.6682666666666677</v>
      </c>
      <c r="S31" s="127">
        <f t="shared" si="22"/>
        <v>7.5653333333333341</v>
      </c>
      <c r="T31" s="124">
        <f t="shared" si="23"/>
        <v>1.8639999999999999</v>
      </c>
      <c r="U31" s="124">
        <f t="shared" si="24"/>
        <v>5.4933333333333332</v>
      </c>
      <c r="V31" s="122">
        <f t="shared" si="25"/>
        <v>5.4933333333333332</v>
      </c>
      <c r="W31" s="121">
        <f t="shared" si="12"/>
        <v>3.9995132041532142</v>
      </c>
      <c r="X31" s="122">
        <f t="shared" si="26"/>
        <v>16.819067660622977</v>
      </c>
    </row>
    <row r="32" spans="1:24" ht="12" customHeight="1">
      <c r="A32" s="115" t="str">
        <f t="shared" si="0"/>
        <v>B-3-1060</v>
      </c>
      <c r="B32" s="115" t="s">
        <v>50</v>
      </c>
      <c r="C32" s="116">
        <v>3</v>
      </c>
      <c r="D32" s="123">
        <v>1060</v>
      </c>
      <c r="E32" s="124">
        <v>0.09</v>
      </c>
      <c r="F32" s="124">
        <f t="shared" si="1"/>
        <v>1.24</v>
      </c>
      <c r="G32" s="124">
        <f t="shared" si="14"/>
        <v>8.2693333333333339</v>
      </c>
      <c r="H32" s="124">
        <f t="shared" si="15"/>
        <v>7.2333333333333334</v>
      </c>
      <c r="I32" s="124">
        <f t="shared" si="16"/>
        <v>6.2733333333333334</v>
      </c>
      <c r="J32" s="124">
        <f t="shared" si="17"/>
        <v>3.4159999999999999</v>
      </c>
      <c r="K32" s="124">
        <f t="shared" si="18"/>
        <v>2.2400000000000002</v>
      </c>
      <c r="L32" s="124">
        <f t="shared" si="5"/>
        <v>2.19</v>
      </c>
      <c r="M32" s="125">
        <f t="shared" si="19"/>
        <v>1.8399999999999999</v>
      </c>
      <c r="N32" s="126"/>
      <c r="O32" s="126">
        <f t="shared" si="6"/>
        <v>1.1759999999999999</v>
      </c>
      <c r="P32" s="126">
        <f t="shared" si="6"/>
        <v>1.036</v>
      </c>
      <c r="Q32" s="127">
        <f t="shared" si="20"/>
        <v>13.330122449687625</v>
      </c>
      <c r="R32" s="124">
        <f t="shared" si="21"/>
        <v>12.170266666666668</v>
      </c>
      <c r="S32" s="127">
        <f t="shared" si="22"/>
        <v>8.6513333333333335</v>
      </c>
      <c r="T32" s="124">
        <f t="shared" si="23"/>
        <v>1.9359999999999999</v>
      </c>
      <c r="U32" s="124">
        <f t="shared" si="24"/>
        <v>6.2733333333333334</v>
      </c>
      <c r="V32" s="122">
        <f t="shared" si="25"/>
        <v>6.2733333333333334</v>
      </c>
      <c r="W32" s="121">
        <f t="shared" si="12"/>
        <v>5.0970486852135846</v>
      </c>
      <c r="X32" s="122">
        <f t="shared" si="26"/>
        <v>21.45538722278204</v>
      </c>
    </row>
    <row r="33" spans="1:24" ht="12" customHeight="1" thickBot="1">
      <c r="A33" s="165" t="str">
        <f t="shared" si="0"/>
        <v>B-3-1220</v>
      </c>
      <c r="B33" s="165" t="s">
        <v>50</v>
      </c>
      <c r="C33" s="166">
        <v>3</v>
      </c>
      <c r="D33" s="167">
        <v>1220</v>
      </c>
      <c r="E33" s="168">
        <v>0.1</v>
      </c>
      <c r="F33" s="168">
        <f t="shared" si="1"/>
        <v>1.42</v>
      </c>
      <c r="G33" s="168">
        <f t="shared" si="14"/>
        <v>9.3913333333333338</v>
      </c>
      <c r="H33" s="168">
        <f t="shared" si="15"/>
        <v>8.2833333333333332</v>
      </c>
      <c r="I33" s="168">
        <f t="shared" si="16"/>
        <v>7.0533333333333337</v>
      </c>
      <c r="J33" s="168">
        <f t="shared" si="17"/>
        <v>3.6680000000000001</v>
      </c>
      <c r="K33" s="168">
        <f t="shared" si="18"/>
        <v>2.42</v>
      </c>
      <c r="L33" s="168">
        <f t="shared" si="5"/>
        <v>2.37</v>
      </c>
      <c r="M33" s="169">
        <f t="shared" si="19"/>
        <v>2.02</v>
      </c>
      <c r="N33" s="170"/>
      <c r="O33" s="170">
        <f t="shared" si="6"/>
        <v>1.248</v>
      </c>
      <c r="P33" s="170">
        <f t="shared" si="6"/>
        <v>1.1080000000000001</v>
      </c>
      <c r="Q33" s="171">
        <f t="shared" si="20"/>
        <v>16.862541378801549</v>
      </c>
      <c r="R33" s="168">
        <f t="shared" si="21"/>
        <v>14.953066666666668</v>
      </c>
      <c r="S33" s="171">
        <f t="shared" si="22"/>
        <v>9.7373333333333338</v>
      </c>
      <c r="T33" s="168">
        <f t="shared" si="23"/>
        <v>2.008</v>
      </c>
      <c r="U33" s="168">
        <f t="shared" si="24"/>
        <v>7.0533333333333337</v>
      </c>
      <c r="V33" s="172">
        <f t="shared" si="25"/>
        <v>7.0533333333333337</v>
      </c>
      <c r="W33" s="173">
        <f t="shared" si="12"/>
        <v>6.3227027633094872</v>
      </c>
      <c r="X33" s="172">
        <f t="shared" si="26"/>
        <v>26.823417854496423</v>
      </c>
    </row>
    <row r="34" spans="1:24" ht="12" customHeight="1">
      <c r="A34" s="106" t="str">
        <f t="shared" si="0"/>
        <v>C-1-600</v>
      </c>
      <c r="B34" s="106" t="s">
        <v>54</v>
      </c>
      <c r="C34" s="107">
        <v>1</v>
      </c>
      <c r="D34" s="108">
        <v>600</v>
      </c>
      <c r="E34" s="109">
        <v>0.06</v>
      </c>
      <c r="F34" s="109">
        <f t="shared" si="1"/>
        <v>0.72</v>
      </c>
      <c r="G34" s="109">
        <f>0.3+C34*F34+(C34-1)*2*F34/3+0.3</f>
        <v>1.32</v>
      </c>
      <c r="H34" s="174">
        <f>2.5*F34*TAN(30*PI()/180)+C34*F34+(C34-1)*2*F34/3+2.5*F34*TAN(30*PI()/180)</f>
        <v>2.7984609690826527</v>
      </c>
      <c r="I34" s="109">
        <f>P34*SIN(30*PI()/180)+C34*F34+(C34-1)*2*F34/3+P34*SIN(30*PI()/180)</f>
        <v>1.5479999999999998</v>
      </c>
      <c r="J34" s="109">
        <f>2.5*F34</f>
        <v>1.7999999999999998</v>
      </c>
      <c r="K34" s="109"/>
      <c r="L34" s="109">
        <f t="shared" si="5"/>
        <v>1.67</v>
      </c>
      <c r="M34" s="110">
        <f t="shared" si="19"/>
        <v>1.3199999999999998</v>
      </c>
      <c r="N34" s="111"/>
      <c r="O34" s="111">
        <f t="shared" si="6"/>
        <v>0.96799999999999997</v>
      </c>
      <c r="P34" s="111">
        <f t="shared" si="6"/>
        <v>0.82799999999999985</v>
      </c>
      <c r="Q34" s="112">
        <f>((G34+I34)/2)*(O34+0.3)/2*M34+2*(((O34+0.3)/2+(0.3+0.5)/2)/2*(M34+0.8)/2*J34/COS(30*PI()/180))-C34*((O34+0.3)/2)*PI()*F34^2/4</f>
        <v>3.22002892194143</v>
      </c>
      <c r="R34" s="109">
        <f>((G34-0.6+H34)/2)*J34</f>
        <v>3.1666148721743874</v>
      </c>
      <c r="S34" s="112">
        <f>0.9+(I34+G34)/2</f>
        <v>2.3340000000000001</v>
      </c>
      <c r="T34" s="109">
        <f>(0.9+(P34+0.5)/2)*2/COS(30*PI()/180)</f>
        <v>3.6119032840502987</v>
      </c>
      <c r="U34" s="109">
        <f>(G34-0.6+H34)/2-0.9</f>
        <v>0.85923048454132644</v>
      </c>
      <c r="V34" s="113">
        <f>H34</f>
        <v>2.7984609690826527</v>
      </c>
      <c r="W34" s="114">
        <f t="shared" si="12"/>
        <v>1.0022495920947629</v>
      </c>
      <c r="X34" s="113">
        <f>((O34+0.45)*(L34-0.15)+0.2*0.45)*((G34+I34)/2+0.9)+2*(((P34+0.5)/2+0.45)*((M34+0.8)/2-0.15)+0.2*0.45)*J34/COS(30*PI()/180)-C34*(O34+0.45-(O34+0.3)/2)*PI()*F34^2/4-Q34</f>
        <v>6.2895964182914357</v>
      </c>
    </row>
    <row r="35" spans="1:24" ht="12" customHeight="1">
      <c r="A35" s="115" t="str">
        <f t="shared" si="0"/>
        <v>C-1-760</v>
      </c>
      <c r="B35" s="115" t="s">
        <v>54</v>
      </c>
      <c r="C35" s="116">
        <v>1</v>
      </c>
      <c r="D35" s="117">
        <v>760</v>
      </c>
      <c r="E35" s="118">
        <v>7.0000000000000007E-2</v>
      </c>
      <c r="F35" s="118">
        <f t="shared" si="1"/>
        <v>0.9</v>
      </c>
      <c r="G35" s="118">
        <f t="shared" ref="G35:G48" si="27">0.3+C35*F35+(C35-1)*2*F35/3+0.3</f>
        <v>1.5</v>
      </c>
      <c r="H35" s="118">
        <f t="shared" ref="H35:H48" si="28">2.5*F35*TAN(30*PI()/180)+C35*F35+(C35-1)*2*F35/3+2.5*F35*TAN(30*PI()/180)</f>
        <v>3.4980762113533159</v>
      </c>
      <c r="I35" s="118">
        <f t="shared" ref="I35:I48" si="29">P35*SIN(30*PI()/180)+C35*F35+(C35-1)*2*F35/3+P35*SIN(30*PI()/180)</f>
        <v>1.8</v>
      </c>
      <c r="J35" s="118">
        <f t="shared" ref="J35:J48" si="30">2.5*F35</f>
        <v>2.25</v>
      </c>
      <c r="K35" s="118"/>
      <c r="L35" s="118">
        <f t="shared" si="5"/>
        <v>1.85</v>
      </c>
      <c r="M35" s="119">
        <f t="shared" si="19"/>
        <v>1.5</v>
      </c>
      <c r="N35" s="120"/>
      <c r="O35" s="120">
        <f t="shared" si="6"/>
        <v>1.04</v>
      </c>
      <c r="P35" s="120">
        <f t="shared" si="6"/>
        <v>0.90000000000000013</v>
      </c>
      <c r="Q35" s="121">
        <f t="shared" ref="Q35:Q48" si="31">((G35+I35)/2)*(O35+0.3)/2*M35+2*(((O35+0.3)/2+(0.3+0.5)/2)/2*(M35+0.8)/2*J35/COS(30*PI()/180))-C35*((O35+0.3)/2)*PI()*F35^2/4</f>
        <v>4.4289471947944596</v>
      </c>
      <c r="R35" s="118">
        <f t="shared" ref="R35:R48" si="32">((G35-0.6+H35)/2)*J35</f>
        <v>4.94783573777248</v>
      </c>
      <c r="S35" s="121">
        <f t="shared" ref="S35:S48" si="33">0.9+(I35+G35)/2</f>
        <v>2.5499999999999998</v>
      </c>
      <c r="T35" s="118">
        <f t="shared" ref="T35:T48" si="34">(0.9+(P35+0.5)/2)*2/COS(30*PI()/180)</f>
        <v>3.6950417228136048</v>
      </c>
      <c r="U35" s="118">
        <f t="shared" ref="U35:U48" si="35">(G35-0.6+H35)/2-0.9</f>
        <v>1.299038105676658</v>
      </c>
      <c r="V35" s="122">
        <f t="shared" ref="V35:V48" si="36">H35</f>
        <v>3.4980762113533159</v>
      </c>
      <c r="W35" s="121">
        <f t="shared" si="12"/>
        <v>1.2538274876480671</v>
      </c>
      <c r="X35" s="122">
        <f t="shared" ref="X35:X48" si="37">((O35+0.45)*(L35-0.15)+0.2*0.45)*((G35+I35)/2+0.9)+2*(((P35+0.5)/2+0.45)*((M35+0.8)/2-0.15)+0.2*0.45)*J35/COS(30*PI()/180)-C35*(O35+0.45-(O35+0.3)/2)*PI()*F35^2/4-Q35</f>
        <v>8.1812703492331771</v>
      </c>
    </row>
    <row r="36" spans="1:24" ht="12" customHeight="1">
      <c r="A36" s="115" t="str">
        <f t="shared" si="0"/>
        <v>C-1-900</v>
      </c>
      <c r="B36" s="115" t="s">
        <v>54</v>
      </c>
      <c r="C36" s="116">
        <v>1</v>
      </c>
      <c r="D36" s="123">
        <v>900</v>
      </c>
      <c r="E36" s="124">
        <v>0.08</v>
      </c>
      <c r="F36" s="124">
        <f t="shared" si="1"/>
        <v>1.06</v>
      </c>
      <c r="G36" s="124">
        <f t="shared" si="27"/>
        <v>1.6600000000000001</v>
      </c>
      <c r="H36" s="124">
        <f t="shared" si="28"/>
        <v>4.1199564267050164</v>
      </c>
      <c r="I36" s="124">
        <f t="shared" si="29"/>
        <v>2.024</v>
      </c>
      <c r="J36" s="124">
        <f t="shared" si="30"/>
        <v>2.6500000000000004</v>
      </c>
      <c r="K36" s="124"/>
      <c r="L36" s="124">
        <f t="shared" si="5"/>
        <v>2.0099999999999998</v>
      </c>
      <c r="M36" s="125">
        <f t="shared" si="19"/>
        <v>1.6599999999999997</v>
      </c>
      <c r="N36" s="126"/>
      <c r="O36" s="126">
        <f t="shared" si="6"/>
        <v>1.1039999999999999</v>
      </c>
      <c r="P36" s="126">
        <f t="shared" si="6"/>
        <v>0.96399999999999997</v>
      </c>
      <c r="Q36" s="127">
        <f t="shared" si="31"/>
        <v>5.674671667913433</v>
      </c>
      <c r="R36" s="124">
        <f t="shared" si="32"/>
        <v>6.8634422653841485</v>
      </c>
      <c r="S36" s="127">
        <f t="shared" si="33"/>
        <v>2.742</v>
      </c>
      <c r="T36" s="124">
        <f t="shared" si="34"/>
        <v>3.7689425572698769</v>
      </c>
      <c r="U36" s="124">
        <f t="shared" si="35"/>
        <v>1.6899782133525085</v>
      </c>
      <c r="V36" s="122">
        <f t="shared" si="36"/>
        <v>4.1199564267050164</v>
      </c>
      <c r="W36" s="121">
        <f t="shared" ref="W36:W63" si="38">(0.9+C36*(D36/1000+2*E36)+(C36-1)*2/3*(D36/1000+2*E36))*(0.15+(D36/1000+2*E36))-C36*PI()*(D36/1000+2*E36)^2/4</f>
        <v>1.489126623606627</v>
      </c>
      <c r="X36" s="122">
        <f t="shared" si="37"/>
        <v>10.109055604355426</v>
      </c>
    </row>
    <row r="37" spans="1:24" ht="12" customHeight="1">
      <c r="A37" s="115" t="str">
        <f t="shared" si="0"/>
        <v>C-1-1060</v>
      </c>
      <c r="B37" s="115" t="s">
        <v>54</v>
      </c>
      <c r="C37" s="116">
        <v>1</v>
      </c>
      <c r="D37" s="123">
        <v>1060</v>
      </c>
      <c r="E37" s="124">
        <v>0.09</v>
      </c>
      <c r="F37" s="124">
        <f t="shared" si="1"/>
        <v>1.24</v>
      </c>
      <c r="G37" s="124">
        <f t="shared" si="27"/>
        <v>1.84</v>
      </c>
      <c r="H37" s="124">
        <f t="shared" si="28"/>
        <v>4.81957166897568</v>
      </c>
      <c r="I37" s="124">
        <f t="shared" si="29"/>
        <v>2.2759999999999998</v>
      </c>
      <c r="J37" s="124">
        <f t="shared" si="30"/>
        <v>3.1</v>
      </c>
      <c r="K37" s="124"/>
      <c r="L37" s="124">
        <f t="shared" si="5"/>
        <v>2.19</v>
      </c>
      <c r="M37" s="125">
        <f t="shared" si="19"/>
        <v>1.8399999999999999</v>
      </c>
      <c r="N37" s="126"/>
      <c r="O37" s="126">
        <f t="shared" si="6"/>
        <v>1.1759999999999999</v>
      </c>
      <c r="P37" s="126">
        <f t="shared" si="6"/>
        <v>1.036</v>
      </c>
      <c r="Q37" s="127">
        <f t="shared" si="31"/>
        <v>7.2804591148310474</v>
      </c>
      <c r="R37" s="124">
        <f t="shared" si="32"/>
        <v>9.3923360869123051</v>
      </c>
      <c r="S37" s="127">
        <f t="shared" si="33"/>
        <v>2.9579999999999997</v>
      </c>
      <c r="T37" s="124">
        <f t="shared" si="34"/>
        <v>3.852080996033183</v>
      </c>
      <c r="U37" s="124">
        <f t="shared" si="35"/>
        <v>2.1297858344878402</v>
      </c>
      <c r="V37" s="122">
        <f t="shared" si="36"/>
        <v>4.81957166897568</v>
      </c>
      <c r="W37" s="121">
        <f t="shared" si="38"/>
        <v>1.7669717839600836</v>
      </c>
      <c r="X37" s="122">
        <f t="shared" si="37"/>
        <v>12.571723054922092</v>
      </c>
    </row>
    <row r="38" spans="1:24" ht="12" customHeight="1">
      <c r="A38" s="129" t="str">
        <f t="shared" si="0"/>
        <v>C-1-1220</v>
      </c>
      <c r="B38" s="129" t="s">
        <v>54</v>
      </c>
      <c r="C38" s="130">
        <v>1</v>
      </c>
      <c r="D38" s="131">
        <v>1220</v>
      </c>
      <c r="E38" s="132">
        <v>0.1</v>
      </c>
      <c r="F38" s="132">
        <f t="shared" si="1"/>
        <v>1.42</v>
      </c>
      <c r="G38" s="132">
        <f t="shared" si="27"/>
        <v>2.02</v>
      </c>
      <c r="H38" s="132">
        <f t="shared" si="28"/>
        <v>5.5191869112463428</v>
      </c>
      <c r="I38" s="132">
        <f t="shared" si="29"/>
        <v>2.5279999999999996</v>
      </c>
      <c r="J38" s="132">
        <f t="shared" si="30"/>
        <v>3.55</v>
      </c>
      <c r="K38" s="132"/>
      <c r="L38" s="132">
        <f t="shared" si="5"/>
        <v>2.37</v>
      </c>
      <c r="M38" s="133">
        <f t="shared" si="19"/>
        <v>2.02</v>
      </c>
      <c r="N38" s="134"/>
      <c r="O38" s="134">
        <f t="shared" si="6"/>
        <v>1.248</v>
      </c>
      <c r="P38" s="134">
        <f t="shared" si="6"/>
        <v>1.1080000000000001</v>
      </c>
      <c r="Q38" s="135">
        <f t="shared" si="31"/>
        <v>9.1151356945963702</v>
      </c>
      <c r="R38" s="132">
        <f>((G38-0.6+H38)/2)*J38</f>
        <v>12.317056767462258</v>
      </c>
      <c r="S38" s="135">
        <f t="shared" si="33"/>
        <v>3.1739999999999999</v>
      </c>
      <c r="T38" s="132">
        <f t="shared" si="34"/>
        <v>3.9352194347964895</v>
      </c>
      <c r="U38" s="132">
        <f t="shared" si="35"/>
        <v>2.5695934556231714</v>
      </c>
      <c r="V38" s="136">
        <f t="shared" si="36"/>
        <v>5.5191869112463428</v>
      </c>
      <c r="W38" s="137">
        <f t="shared" si="38"/>
        <v>2.058723143325385</v>
      </c>
      <c r="X38" s="136">
        <f t="shared" si="37"/>
        <v>15.363402548351972</v>
      </c>
    </row>
    <row r="39" spans="1:24" ht="12" customHeight="1">
      <c r="A39" s="138" t="str">
        <f t="shared" si="0"/>
        <v>C-2-600</v>
      </c>
      <c r="B39" s="138" t="s">
        <v>54</v>
      </c>
      <c r="C39" s="139">
        <v>2</v>
      </c>
      <c r="D39" s="140">
        <v>600</v>
      </c>
      <c r="E39" s="141">
        <v>0.06</v>
      </c>
      <c r="F39" s="141">
        <f t="shared" si="1"/>
        <v>0.72</v>
      </c>
      <c r="G39" s="141">
        <f t="shared" si="27"/>
        <v>2.5199999999999996</v>
      </c>
      <c r="H39" s="141">
        <f t="shared" si="28"/>
        <v>3.9984609690826529</v>
      </c>
      <c r="I39" s="141">
        <f t="shared" si="29"/>
        <v>2.7479999999999993</v>
      </c>
      <c r="J39" s="141">
        <f t="shared" si="30"/>
        <v>1.7999999999999998</v>
      </c>
      <c r="K39" s="141"/>
      <c r="L39" s="141">
        <f t="shared" si="5"/>
        <v>1.67</v>
      </c>
      <c r="M39" s="142">
        <f t="shared" si="19"/>
        <v>1.3199999999999998</v>
      </c>
      <c r="N39" s="143"/>
      <c r="O39" s="143">
        <f t="shared" si="6"/>
        <v>0.96799999999999997</v>
      </c>
      <c r="P39" s="143">
        <f t="shared" si="6"/>
        <v>0.82799999999999985</v>
      </c>
      <c r="Q39" s="144">
        <f t="shared" si="31"/>
        <v>3.9661515633295097</v>
      </c>
      <c r="R39" s="141">
        <f t="shared" si="32"/>
        <v>5.3266148721743862</v>
      </c>
      <c r="S39" s="144">
        <f t="shared" si="33"/>
        <v>3.5339999999999994</v>
      </c>
      <c r="T39" s="141">
        <f t="shared" si="34"/>
        <v>3.6119032840502987</v>
      </c>
      <c r="U39" s="141">
        <f t="shared" si="35"/>
        <v>2.0592304845413261</v>
      </c>
      <c r="V39" s="145">
        <f t="shared" si="36"/>
        <v>3.9984609690826529</v>
      </c>
      <c r="W39" s="146">
        <f t="shared" si="38"/>
        <v>1.6390991841895255</v>
      </c>
      <c r="X39" s="145">
        <f t="shared" si="37"/>
        <v>7.9186998571056506</v>
      </c>
    </row>
    <row r="40" spans="1:24" ht="12" customHeight="1">
      <c r="A40" s="115" t="str">
        <f t="shared" si="0"/>
        <v>C-2-760</v>
      </c>
      <c r="B40" s="115" t="s">
        <v>54</v>
      </c>
      <c r="C40" s="116">
        <v>2</v>
      </c>
      <c r="D40" s="117">
        <v>760</v>
      </c>
      <c r="E40" s="118">
        <v>7.0000000000000007E-2</v>
      </c>
      <c r="F40" s="118">
        <f t="shared" si="1"/>
        <v>0.9</v>
      </c>
      <c r="G40" s="118">
        <f t="shared" si="27"/>
        <v>3</v>
      </c>
      <c r="H40" s="118">
        <f t="shared" si="28"/>
        <v>4.9980762113533164</v>
      </c>
      <c r="I40" s="118">
        <f t="shared" si="29"/>
        <v>3.3000000000000003</v>
      </c>
      <c r="J40" s="118">
        <f t="shared" si="30"/>
        <v>2.25</v>
      </c>
      <c r="K40" s="118"/>
      <c r="L40" s="118">
        <f t="shared" si="5"/>
        <v>1.85</v>
      </c>
      <c r="M40" s="119">
        <f t="shared" si="19"/>
        <v>1.5</v>
      </c>
      <c r="N40" s="120"/>
      <c r="O40" s="120">
        <f t="shared" si="6"/>
        <v>1.04</v>
      </c>
      <c r="P40" s="120">
        <f t="shared" si="6"/>
        <v>0.90000000000000013</v>
      </c>
      <c r="Q40" s="121">
        <f t="shared" si="31"/>
        <v>5.510211611518665</v>
      </c>
      <c r="R40" s="118">
        <f t="shared" si="32"/>
        <v>8.3228357377724809</v>
      </c>
      <c r="S40" s="121">
        <f t="shared" si="33"/>
        <v>4.0500000000000007</v>
      </c>
      <c r="T40" s="118">
        <f t="shared" si="34"/>
        <v>3.6950417228136048</v>
      </c>
      <c r="U40" s="118">
        <f t="shared" si="35"/>
        <v>2.7990381056766584</v>
      </c>
      <c r="V40" s="122">
        <f t="shared" si="36"/>
        <v>4.9980762113533164</v>
      </c>
      <c r="W40" s="121">
        <f t="shared" si="38"/>
        <v>2.1926549752961337</v>
      </c>
      <c r="X40" s="122">
        <f t="shared" si="37"/>
        <v>10.512844472380388</v>
      </c>
    </row>
    <row r="41" spans="1:24" ht="12" customHeight="1">
      <c r="A41" s="115" t="str">
        <f t="shared" si="0"/>
        <v>C-2-900</v>
      </c>
      <c r="B41" s="115" t="s">
        <v>54</v>
      </c>
      <c r="C41" s="116">
        <v>2</v>
      </c>
      <c r="D41" s="123">
        <v>900</v>
      </c>
      <c r="E41" s="124">
        <v>0.08</v>
      </c>
      <c r="F41" s="124">
        <f t="shared" si="1"/>
        <v>1.06</v>
      </c>
      <c r="G41" s="124">
        <f t="shared" si="27"/>
        <v>3.4266666666666663</v>
      </c>
      <c r="H41" s="124">
        <f t="shared" si="28"/>
        <v>5.8866230933716839</v>
      </c>
      <c r="I41" s="124">
        <f t="shared" si="29"/>
        <v>3.7906666666666662</v>
      </c>
      <c r="J41" s="124">
        <f t="shared" si="30"/>
        <v>2.6500000000000004</v>
      </c>
      <c r="K41" s="124"/>
      <c r="L41" s="124">
        <f t="shared" si="5"/>
        <v>2.0099999999999998</v>
      </c>
      <c r="M41" s="125">
        <f t="shared" si="19"/>
        <v>1.6599999999999997</v>
      </c>
      <c r="N41" s="126"/>
      <c r="O41" s="126">
        <f t="shared" si="6"/>
        <v>1.1039999999999999</v>
      </c>
      <c r="P41" s="126">
        <f t="shared" si="6"/>
        <v>0.96399999999999997</v>
      </c>
      <c r="Q41" s="127">
        <f t="shared" si="31"/>
        <v>7.1139073576852834</v>
      </c>
      <c r="R41" s="124">
        <f t="shared" si="32"/>
        <v>11.545108932050816</v>
      </c>
      <c r="S41" s="127">
        <f t="shared" si="33"/>
        <v>4.5086666666666666</v>
      </c>
      <c r="T41" s="124">
        <f t="shared" si="34"/>
        <v>3.7689425572698769</v>
      </c>
      <c r="U41" s="124">
        <f t="shared" si="35"/>
        <v>3.4566448800191751</v>
      </c>
      <c r="V41" s="122">
        <f t="shared" si="36"/>
        <v>5.8866230933716839</v>
      </c>
      <c r="W41" s="121">
        <f t="shared" si="38"/>
        <v>2.7443199138799201</v>
      </c>
      <c r="X41" s="122">
        <f t="shared" si="37"/>
        <v>13.18339659789642</v>
      </c>
    </row>
    <row r="42" spans="1:24" ht="12" customHeight="1">
      <c r="A42" s="115" t="str">
        <f t="shared" si="0"/>
        <v>C-2-1060</v>
      </c>
      <c r="B42" s="115" t="s">
        <v>54</v>
      </c>
      <c r="C42" s="116">
        <v>2</v>
      </c>
      <c r="D42" s="123">
        <v>1060</v>
      </c>
      <c r="E42" s="124">
        <v>0.09</v>
      </c>
      <c r="F42" s="124">
        <f t="shared" si="1"/>
        <v>1.24</v>
      </c>
      <c r="G42" s="124">
        <f t="shared" si="27"/>
        <v>3.9066666666666663</v>
      </c>
      <c r="H42" s="124">
        <f t="shared" si="28"/>
        <v>6.8862383356423456</v>
      </c>
      <c r="I42" s="124">
        <f t="shared" si="29"/>
        <v>4.3426666666666662</v>
      </c>
      <c r="J42" s="124">
        <f t="shared" si="30"/>
        <v>3.1</v>
      </c>
      <c r="K42" s="124"/>
      <c r="L42" s="124">
        <f t="shared" si="5"/>
        <v>2.19</v>
      </c>
      <c r="M42" s="125">
        <f t="shared" si="19"/>
        <v>1.8399999999999999</v>
      </c>
      <c r="N42" s="126"/>
      <c r="O42" s="126">
        <f t="shared" si="6"/>
        <v>1.1759999999999999</v>
      </c>
      <c r="P42" s="126">
        <f t="shared" si="6"/>
        <v>1.036</v>
      </c>
      <c r="Q42" s="127">
        <f t="shared" si="31"/>
        <v>9.1955974913935901</v>
      </c>
      <c r="R42" s="124">
        <f t="shared" si="32"/>
        <v>15.799002753578968</v>
      </c>
      <c r="S42" s="127">
        <f t="shared" si="33"/>
        <v>5.0246666666666666</v>
      </c>
      <c r="T42" s="124">
        <f t="shared" si="34"/>
        <v>3.852080996033183</v>
      </c>
      <c r="U42" s="124">
        <f t="shared" si="35"/>
        <v>4.1964525011545053</v>
      </c>
      <c r="V42" s="122">
        <f t="shared" si="36"/>
        <v>6.8862383356423456</v>
      </c>
      <c r="W42" s="121">
        <f t="shared" si="38"/>
        <v>3.432010234586834</v>
      </c>
      <c r="X42" s="122">
        <f t="shared" si="37"/>
        <v>16.625426822516104</v>
      </c>
    </row>
    <row r="43" spans="1:24" ht="12" customHeight="1">
      <c r="A43" s="147" t="str">
        <f t="shared" si="0"/>
        <v>C-2-1220</v>
      </c>
      <c r="B43" s="147" t="s">
        <v>54</v>
      </c>
      <c r="C43" s="148">
        <v>2</v>
      </c>
      <c r="D43" s="149">
        <v>1220</v>
      </c>
      <c r="E43" s="150">
        <v>0.1</v>
      </c>
      <c r="F43" s="150">
        <f t="shared" si="1"/>
        <v>1.42</v>
      </c>
      <c r="G43" s="150">
        <f t="shared" si="27"/>
        <v>4.3866666666666658</v>
      </c>
      <c r="H43" s="150">
        <f t="shared" si="28"/>
        <v>7.885853577913009</v>
      </c>
      <c r="I43" s="150">
        <f t="shared" si="29"/>
        <v>4.8946666666666667</v>
      </c>
      <c r="J43" s="150">
        <f t="shared" si="30"/>
        <v>3.55</v>
      </c>
      <c r="K43" s="150"/>
      <c r="L43" s="150">
        <f t="shared" si="5"/>
        <v>2.37</v>
      </c>
      <c r="M43" s="151">
        <f t="shared" si="19"/>
        <v>2.02</v>
      </c>
      <c r="N43" s="152"/>
      <c r="O43" s="152">
        <f t="shared" si="6"/>
        <v>1.248</v>
      </c>
      <c r="P43" s="152">
        <f t="shared" si="6"/>
        <v>1.1080000000000001</v>
      </c>
      <c r="Q43" s="153">
        <f t="shared" si="31"/>
        <v>11.589605807530216</v>
      </c>
      <c r="R43" s="150">
        <f t="shared" si="32"/>
        <v>20.718723434128922</v>
      </c>
      <c r="S43" s="153">
        <f t="shared" si="33"/>
        <v>5.5406666666666666</v>
      </c>
      <c r="T43" s="150">
        <f t="shared" si="34"/>
        <v>3.9352194347964895</v>
      </c>
      <c r="U43" s="150">
        <f t="shared" si="35"/>
        <v>4.9362601222898368</v>
      </c>
      <c r="V43" s="154">
        <f t="shared" si="36"/>
        <v>7.885853577913009</v>
      </c>
      <c r="W43" s="155">
        <f t="shared" si="38"/>
        <v>4.190712953317437</v>
      </c>
      <c r="X43" s="154">
        <f t="shared" si="37"/>
        <v>20.559907019850787</v>
      </c>
    </row>
    <row r="44" spans="1:24" ht="12" customHeight="1">
      <c r="A44" s="156" t="str">
        <f t="shared" si="0"/>
        <v>C-3-600</v>
      </c>
      <c r="B44" s="156" t="s">
        <v>54</v>
      </c>
      <c r="C44" s="157">
        <v>3</v>
      </c>
      <c r="D44" s="158">
        <v>600</v>
      </c>
      <c r="E44" s="159">
        <v>0.06</v>
      </c>
      <c r="F44" s="159">
        <f t="shared" si="1"/>
        <v>0.72</v>
      </c>
      <c r="G44" s="159">
        <f t="shared" si="27"/>
        <v>3.7199999999999998</v>
      </c>
      <c r="H44" s="159">
        <f t="shared" si="28"/>
        <v>5.1984609690826522</v>
      </c>
      <c r="I44" s="159">
        <f t="shared" si="29"/>
        <v>3.9479999999999995</v>
      </c>
      <c r="J44" s="159">
        <f t="shared" si="30"/>
        <v>1.7999999999999998</v>
      </c>
      <c r="K44" s="159"/>
      <c r="L44" s="159">
        <f t="shared" si="5"/>
        <v>1.67</v>
      </c>
      <c r="M44" s="160">
        <f t="shared" si="19"/>
        <v>1.3199999999999998</v>
      </c>
      <c r="N44" s="161"/>
      <c r="O44" s="161">
        <f t="shared" si="6"/>
        <v>0.96799999999999997</v>
      </c>
      <c r="P44" s="161">
        <f t="shared" si="6"/>
        <v>0.82799999999999985</v>
      </c>
      <c r="Q44" s="162">
        <f t="shared" si="31"/>
        <v>4.7122742047175894</v>
      </c>
      <c r="R44" s="159">
        <f t="shared" si="32"/>
        <v>7.4866148721743864</v>
      </c>
      <c r="S44" s="162">
        <f t="shared" si="33"/>
        <v>4.734</v>
      </c>
      <c r="T44" s="159">
        <f t="shared" si="34"/>
        <v>3.6119032840502987</v>
      </c>
      <c r="U44" s="159">
        <f t="shared" si="35"/>
        <v>3.2592304845413262</v>
      </c>
      <c r="V44" s="163">
        <f t="shared" si="36"/>
        <v>5.1984609690826522</v>
      </c>
      <c r="W44" s="164">
        <f t="shared" si="38"/>
        <v>2.275948776284288</v>
      </c>
      <c r="X44" s="163">
        <f t="shared" si="37"/>
        <v>9.5478032959198629</v>
      </c>
    </row>
    <row r="45" spans="1:24" ht="12" customHeight="1">
      <c r="A45" s="115" t="str">
        <f t="shared" si="0"/>
        <v>C-3-760</v>
      </c>
      <c r="B45" s="115" t="s">
        <v>54</v>
      </c>
      <c r="C45" s="116">
        <v>3</v>
      </c>
      <c r="D45" s="117">
        <v>760</v>
      </c>
      <c r="E45" s="118">
        <v>7.0000000000000007E-2</v>
      </c>
      <c r="F45" s="118">
        <f t="shared" si="1"/>
        <v>0.9</v>
      </c>
      <c r="G45" s="118">
        <f t="shared" si="27"/>
        <v>4.5</v>
      </c>
      <c r="H45" s="118">
        <f t="shared" si="28"/>
        <v>6.4980762113533164</v>
      </c>
      <c r="I45" s="118">
        <f t="shared" si="29"/>
        <v>4.8000000000000007</v>
      </c>
      <c r="J45" s="118">
        <f t="shared" si="30"/>
        <v>2.25</v>
      </c>
      <c r="K45" s="118"/>
      <c r="L45" s="118">
        <f t="shared" si="5"/>
        <v>1.85</v>
      </c>
      <c r="M45" s="119">
        <f t="shared" si="19"/>
        <v>1.5</v>
      </c>
      <c r="N45" s="120"/>
      <c r="O45" s="120">
        <f t="shared" si="6"/>
        <v>1.04</v>
      </c>
      <c r="P45" s="120">
        <f t="shared" si="6"/>
        <v>0.90000000000000013</v>
      </c>
      <c r="Q45" s="121">
        <f t="shared" si="31"/>
        <v>6.5914760282428695</v>
      </c>
      <c r="R45" s="118">
        <f t="shared" si="32"/>
        <v>11.697835737772481</v>
      </c>
      <c r="S45" s="121">
        <f t="shared" si="33"/>
        <v>5.5500000000000007</v>
      </c>
      <c r="T45" s="118">
        <f t="shared" si="34"/>
        <v>3.6950417228136048</v>
      </c>
      <c r="U45" s="118">
        <f t="shared" si="35"/>
        <v>4.299038105676658</v>
      </c>
      <c r="V45" s="122">
        <f t="shared" si="36"/>
        <v>6.4980762113533164</v>
      </c>
      <c r="W45" s="121">
        <f t="shared" si="38"/>
        <v>3.1314824629442004</v>
      </c>
      <c r="X45" s="122">
        <f t="shared" si="37"/>
        <v>12.8444185955276</v>
      </c>
    </row>
    <row r="46" spans="1:24" ht="12" customHeight="1">
      <c r="A46" s="115" t="str">
        <f t="shared" si="0"/>
        <v>C-3-900</v>
      </c>
      <c r="B46" s="115" t="s">
        <v>54</v>
      </c>
      <c r="C46" s="116">
        <v>3</v>
      </c>
      <c r="D46" s="123">
        <v>900</v>
      </c>
      <c r="E46" s="124">
        <v>0.08</v>
      </c>
      <c r="F46" s="124">
        <f t="shared" si="1"/>
        <v>1.06</v>
      </c>
      <c r="G46" s="124">
        <f t="shared" si="27"/>
        <v>5.1933333333333334</v>
      </c>
      <c r="H46" s="124">
        <f t="shared" si="28"/>
        <v>7.6532897600383496</v>
      </c>
      <c r="I46" s="124">
        <f t="shared" si="29"/>
        <v>5.5573333333333332</v>
      </c>
      <c r="J46" s="124">
        <f t="shared" si="30"/>
        <v>2.6500000000000004</v>
      </c>
      <c r="K46" s="124"/>
      <c r="L46" s="124">
        <f t="shared" si="5"/>
        <v>2.0099999999999998</v>
      </c>
      <c r="M46" s="125">
        <f t="shared" si="19"/>
        <v>1.6599999999999997</v>
      </c>
      <c r="N46" s="126"/>
      <c r="O46" s="126">
        <f t="shared" si="6"/>
        <v>1.1039999999999999</v>
      </c>
      <c r="P46" s="126">
        <f t="shared" si="6"/>
        <v>0.96399999999999997</v>
      </c>
      <c r="Q46" s="127">
        <f t="shared" si="31"/>
        <v>8.5531430474571373</v>
      </c>
      <c r="R46" s="124">
        <f t="shared" si="32"/>
        <v>16.226775598717481</v>
      </c>
      <c r="S46" s="127">
        <f t="shared" si="33"/>
        <v>6.2753333333333341</v>
      </c>
      <c r="T46" s="124">
        <f t="shared" si="34"/>
        <v>3.7689425572698769</v>
      </c>
      <c r="U46" s="124">
        <f t="shared" si="35"/>
        <v>5.2233115466858413</v>
      </c>
      <c r="V46" s="122">
        <f t="shared" si="36"/>
        <v>7.6532897600383496</v>
      </c>
      <c r="W46" s="121">
        <f t="shared" si="38"/>
        <v>3.9995132041532142</v>
      </c>
      <c r="X46" s="122">
        <f t="shared" si="37"/>
        <v>16.257737591437415</v>
      </c>
    </row>
    <row r="47" spans="1:24" ht="12" customHeight="1">
      <c r="A47" s="115" t="str">
        <f t="shared" si="0"/>
        <v>C-3-1060</v>
      </c>
      <c r="B47" s="115" t="s">
        <v>54</v>
      </c>
      <c r="C47" s="116">
        <v>3</v>
      </c>
      <c r="D47" s="123">
        <v>1060</v>
      </c>
      <c r="E47" s="124">
        <v>0.09</v>
      </c>
      <c r="F47" s="124">
        <f t="shared" si="1"/>
        <v>1.24</v>
      </c>
      <c r="G47" s="124">
        <f t="shared" si="27"/>
        <v>5.9733333333333327</v>
      </c>
      <c r="H47" s="124">
        <f t="shared" si="28"/>
        <v>8.9529050023090129</v>
      </c>
      <c r="I47" s="124">
        <f t="shared" si="29"/>
        <v>6.4093333333333327</v>
      </c>
      <c r="J47" s="124">
        <f t="shared" si="30"/>
        <v>3.1</v>
      </c>
      <c r="K47" s="124"/>
      <c r="L47" s="124">
        <f t="shared" si="5"/>
        <v>2.19</v>
      </c>
      <c r="M47" s="125">
        <f t="shared" si="19"/>
        <v>1.8399999999999999</v>
      </c>
      <c r="N47" s="126"/>
      <c r="O47" s="126">
        <f t="shared" si="6"/>
        <v>1.1759999999999999</v>
      </c>
      <c r="P47" s="126">
        <f t="shared" si="6"/>
        <v>1.036</v>
      </c>
      <c r="Q47" s="127">
        <f t="shared" si="31"/>
        <v>11.110735867956128</v>
      </c>
      <c r="R47" s="124">
        <f t="shared" si="32"/>
        <v>22.205669420245638</v>
      </c>
      <c r="S47" s="127">
        <f t="shared" si="33"/>
        <v>7.091333333333333</v>
      </c>
      <c r="T47" s="124">
        <f t="shared" si="34"/>
        <v>3.852080996033183</v>
      </c>
      <c r="U47" s="124">
        <f t="shared" si="35"/>
        <v>6.2631191678211726</v>
      </c>
      <c r="V47" s="122">
        <f t="shared" si="36"/>
        <v>8.9529050023090129</v>
      </c>
      <c r="W47" s="121">
        <f t="shared" si="38"/>
        <v>5.0970486852135846</v>
      </c>
      <c r="X47" s="122">
        <f t="shared" si="37"/>
        <v>20.67913059011012</v>
      </c>
    </row>
    <row r="48" spans="1:24" ht="12" customHeight="1" thickBot="1">
      <c r="A48" s="165" t="str">
        <f t="shared" si="0"/>
        <v>C-3-1220</v>
      </c>
      <c r="B48" s="165" t="s">
        <v>54</v>
      </c>
      <c r="C48" s="166">
        <v>3</v>
      </c>
      <c r="D48" s="167">
        <v>1220</v>
      </c>
      <c r="E48" s="168">
        <v>0.1</v>
      </c>
      <c r="F48" s="168">
        <f t="shared" si="1"/>
        <v>1.42</v>
      </c>
      <c r="G48" s="168">
        <f t="shared" si="27"/>
        <v>6.753333333333333</v>
      </c>
      <c r="H48" s="168">
        <f t="shared" si="28"/>
        <v>10.252520244579674</v>
      </c>
      <c r="I48" s="168">
        <f t="shared" si="29"/>
        <v>7.2613333333333339</v>
      </c>
      <c r="J48" s="168">
        <f t="shared" si="30"/>
        <v>3.55</v>
      </c>
      <c r="K48" s="168"/>
      <c r="L48" s="168">
        <f t="shared" si="5"/>
        <v>2.37</v>
      </c>
      <c r="M48" s="169">
        <f t="shared" si="19"/>
        <v>2.02</v>
      </c>
      <c r="N48" s="170"/>
      <c r="O48" s="170">
        <f t="shared" si="6"/>
        <v>1.248</v>
      </c>
      <c r="P48" s="170">
        <f t="shared" si="6"/>
        <v>1.1080000000000001</v>
      </c>
      <c r="Q48" s="171">
        <f t="shared" si="31"/>
        <v>14.064075920464067</v>
      </c>
      <c r="R48" s="168">
        <f t="shared" si="32"/>
        <v>29.120390100795586</v>
      </c>
      <c r="S48" s="171">
        <f t="shared" si="33"/>
        <v>7.9073333333333338</v>
      </c>
      <c r="T48" s="168">
        <f t="shared" si="34"/>
        <v>3.9352194347964895</v>
      </c>
      <c r="U48" s="168">
        <f t="shared" si="35"/>
        <v>7.302926788956503</v>
      </c>
      <c r="V48" s="172">
        <f t="shared" si="36"/>
        <v>10.252520244579674</v>
      </c>
      <c r="W48" s="173">
        <f t="shared" si="38"/>
        <v>6.3227027633094872</v>
      </c>
      <c r="X48" s="172">
        <f t="shared" si="37"/>
        <v>25.756411491349592</v>
      </c>
    </row>
    <row r="49" spans="1:24" ht="12" customHeight="1">
      <c r="A49" s="106" t="str">
        <f t="shared" si="0"/>
        <v>I-1-600</v>
      </c>
      <c r="B49" s="106" t="s">
        <v>148</v>
      </c>
      <c r="C49" s="107">
        <v>1</v>
      </c>
      <c r="D49" s="108">
        <v>600</v>
      </c>
      <c r="E49" s="109">
        <v>0.06</v>
      </c>
      <c r="F49" s="109">
        <f t="shared" si="1"/>
        <v>0.72</v>
      </c>
      <c r="G49" s="109">
        <f>P49+0.3+C49*F49+(C49-1)*2*F49/3+0.3+P49</f>
        <v>2.8959999999999999</v>
      </c>
      <c r="H49" s="109">
        <f>0.6+C49*F49+(C49-1)*2*F49/3+0.6</f>
        <v>1.92</v>
      </c>
      <c r="I49" s="109"/>
      <c r="J49" s="109">
        <f>1.5</f>
        <v>1.5</v>
      </c>
      <c r="K49" s="109">
        <f>O49+J49+O49</f>
        <v>3.4359999999999999</v>
      </c>
      <c r="L49" s="109">
        <f t="shared" si="5"/>
        <v>1.67</v>
      </c>
      <c r="M49" s="110">
        <f>L49-0.45</f>
        <v>1.22</v>
      </c>
      <c r="N49" s="111">
        <f>M49-0.3</f>
        <v>0.91999999999999993</v>
      </c>
      <c r="O49" s="111">
        <f t="shared" si="6"/>
        <v>0.96799999999999997</v>
      </c>
      <c r="P49" s="111">
        <f t="shared" si="6"/>
        <v>0.78800000000000003</v>
      </c>
      <c r="Q49" s="112">
        <f>((H49*(J49+0.6)-(H49-0.6)*J49)+(H49*K49-(H49-0.6)*J49))/2*L49-2*J49*0.45*(0.3+0.4*0.45/2)-(2*0.6+(H49-1.2))*0.3*(0.3+0.4*0.3/2)-C49*(0.3+O49)/2*PI()*F49^2/4-(2*0.6+(H49-1.2))*0.3*0.3</f>
        <v>4.4039218413880796</v>
      </c>
      <c r="R49" s="109">
        <f>1.5*(0.3+C49*F49+(C49-1)*2*F49/3+0.3)</f>
        <v>1.98</v>
      </c>
      <c r="S49" s="112">
        <f>((G49+H49)/2)*2</f>
        <v>4.8159999999999998</v>
      </c>
      <c r="T49" s="109">
        <f>(0.9+P49)*2</f>
        <v>3.3760000000000003</v>
      </c>
      <c r="U49" s="109">
        <f>G49-2*P49-0.9</f>
        <v>0.41999999999999982</v>
      </c>
      <c r="V49" s="113">
        <f>H49-2*0.6</f>
        <v>0.72</v>
      </c>
      <c r="W49" s="114">
        <f t="shared" si="38"/>
        <v>1.0022495920947629</v>
      </c>
      <c r="X49" s="113">
        <f>((G49+0.9)*(K49+0.9)-J49*(H49-0.6))*(L49-0.3)+(J49*(H49-0.6)-(J49-0.9)*(H49-0.6))*0.2-C49*(O49+0.45-(O49+0.3)/2)*PI()*F49^2/4-Q49</f>
        <v>15.351326958814212</v>
      </c>
    </row>
    <row r="50" spans="1:24" ht="12" customHeight="1">
      <c r="A50" s="115" t="str">
        <f t="shared" si="0"/>
        <v>I-1-760</v>
      </c>
      <c r="B50" s="115" t="s">
        <v>148</v>
      </c>
      <c r="C50" s="116">
        <v>1</v>
      </c>
      <c r="D50" s="117">
        <v>760</v>
      </c>
      <c r="E50" s="118">
        <v>7.0000000000000007E-2</v>
      </c>
      <c r="F50" s="118">
        <f t="shared" si="1"/>
        <v>0.9</v>
      </c>
      <c r="G50" s="118">
        <f t="shared" ref="G50:G63" si="39">P50+0.3+C50*F50+(C50-1)*2*F50/3+0.3+P50</f>
        <v>3.2199999999999998</v>
      </c>
      <c r="H50" s="118">
        <f t="shared" ref="H50:H63" si="40">0.6+C50*F50+(C50-1)*2*F50/3+0.6</f>
        <v>2.1</v>
      </c>
      <c r="I50" s="118"/>
      <c r="J50" s="118">
        <f t="shared" ref="J50:J63" si="41">1.5</f>
        <v>1.5</v>
      </c>
      <c r="K50" s="118">
        <f t="shared" ref="K50:K63" si="42">O50+J50+O50</f>
        <v>3.58</v>
      </c>
      <c r="L50" s="118">
        <f t="shared" si="5"/>
        <v>1.85</v>
      </c>
      <c r="M50" s="119">
        <f t="shared" ref="M50:M63" si="43">L50-0.45</f>
        <v>1.4000000000000001</v>
      </c>
      <c r="N50" s="120">
        <f t="shared" ref="N50:N63" si="44">M50-0.3</f>
        <v>1.1000000000000001</v>
      </c>
      <c r="O50" s="120">
        <f t="shared" si="6"/>
        <v>1.04</v>
      </c>
      <c r="P50" s="120">
        <f t="shared" si="6"/>
        <v>0.8600000000000001</v>
      </c>
      <c r="Q50" s="121">
        <f t="shared" ref="Q50:Q63" si="45">((H50*(J50+0.6)-(H50-0.6)*J50)+(H50*K50-(H50-0.6)*J50))/2*L50-2*J50*0.45*(0.3+0.4*0.45/2)-(2*0.6+(H50-1.2))*0.3*(0.3+0.4*0.3/2)-C50*(0.3+O50)/2*PI()*F50^2/4-(2*0.6+(H50-1.2))*0.3*0.3</f>
        <v>5.5023644167242054</v>
      </c>
      <c r="R50" s="118">
        <f t="shared" ref="R50:R63" si="46">1.5*(0.3+C50*F50+(C50-1)*2*F50/3+0.3)</f>
        <v>2.25</v>
      </c>
      <c r="S50" s="121">
        <f t="shared" ref="S50:S63" si="47">((G50+H50)/2)*2</f>
        <v>5.32</v>
      </c>
      <c r="T50" s="118">
        <f t="shared" ref="T50:T63" si="48">(0.9+P50)*2</f>
        <v>3.5200000000000005</v>
      </c>
      <c r="U50" s="118">
        <f t="shared" ref="U50:U63" si="49">G50-2*P50-0.9</f>
        <v>0.59999999999999953</v>
      </c>
      <c r="V50" s="122">
        <f t="shared" ref="V50:V63" si="50">H50-2*0.6</f>
        <v>0.90000000000000013</v>
      </c>
      <c r="W50" s="121">
        <f t="shared" si="38"/>
        <v>1.2538274876480671</v>
      </c>
      <c r="X50" s="122">
        <f t="shared" ref="X50:X63" si="51">((G50+0.9)*(K50+0.9)-J50*(H50-0.6))*(L50-0.3)+(J50*(H50-0.6)-(J50-0.9)*(H50-0.6))*0.2-C50*(O50+0.45-(O50+0.3)/2)*PI()*F50^2/4-Q50</f>
        <v>19.367754123147215</v>
      </c>
    </row>
    <row r="51" spans="1:24" ht="12" customHeight="1">
      <c r="A51" s="115" t="str">
        <f t="shared" si="0"/>
        <v>I-1-900</v>
      </c>
      <c r="B51" s="115" t="s">
        <v>148</v>
      </c>
      <c r="C51" s="116">
        <v>1</v>
      </c>
      <c r="D51" s="123">
        <v>900</v>
      </c>
      <c r="E51" s="124">
        <v>0.08</v>
      </c>
      <c r="F51" s="124">
        <f t="shared" si="1"/>
        <v>1.06</v>
      </c>
      <c r="G51" s="124">
        <f t="shared" si="39"/>
        <v>3.5079999999999996</v>
      </c>
      <c r="H51" s="124">
        <f t="shared" si="40"/>
        <v>2.2600000000000002</v>
      </c>
      <c r="I51" s="124"/>
      <c r="J51" s="124">
        <f t="shared" si="41"/>
        <v>1.5</v>
      </c>
      <c r="K51" s="124">
        <f t="shared" si="42"/>
        <v>3.7080000000000002</v>
      </c>
      <c r="L51" s="124">
        <f t="shared" si="5"/>
        <v>2.0099999999999998</v>
      </c>
      <c r="M51" s="125">
        <f t="shared" si="43"/>
        <v>1.5599999999999998</v>
      </c>
      <c r="N51" s="126">
        <f t="shared" si="44"/>
        <v>1.2599999999999998</v>
      </c>
      <c r="O51" s="126">
        <f t="shared" si="6"/>
        <v>1.1039999999999999</v>
      </c>
      <c r="P51" s="126">
        <f t="shared" si="6"/>
        <v>0.92399999999999993</v>
      </c>
      <c r="Q51" s="127">
        <f t="shared" si="45"/>
        <v>6.5933340897718518</v>
      </c>
      <c r="R51" s="124">
        <f t="shared" si="46"/>
        <v>2.4900000000000002</v>
      </c>
      <c r="S51" s="127">
        <f t="shared" si="47"/>
        <v>5.7679999999999998</v>
      </c>
      <c r="T51" s="124">
        <f t="shared" si="48"/>
        <v>3.6479999999999997</v>
      </c>
      <c r="U51" s="124">
        <f t="shared" si="49"/>
        <v>0.75999999999999968</v>
      </c>
      <c r="V51" s="122">
        <f t="shared" si="50"/>
        <v>1.0600000000000003</v>
      </c>
      <c r="W51" s="121">
        <f t="shared" si="38"/>
        <v>1.489126623606627</v>
      </c>
      <c r="X51" s="122">
        <f t="shared" si="51"/>
        <v>23.429328033540987</v>
      </c>
    </row>
    <row r="52" spans="1:24" ht="12" customHeight="1">
      <c r="A52" s="115" t="str">
        <f t="shared" si="0"/>
        <v>I-1-1060</v>
      </c>
      <c r="B52" s="115" t="s">
        <v>148</v>
      </c>
      <c r="C52" s="116">
        <v>1</v>
      </c>
      <c r="D52" s="123">
        <v>1060</v>
      </c>
      <c r="E52" s="124">
        <v>0.09</v>
      </c>
      <c r="F52" s="124">
        <f t="shared" si="1"/>
        <v>1.24</v>
      </c>
      <c r="G52" s="124">
        <f t="shared" si="39"/>
        <v>3.8319999999999999</v>
      </c>
      <c r="H52" s="124">
        <f t="shared" si="40"/>
        <v>2.44</v>
      </c>
      <c r="I52" s="124"/>
      <c r="J52" s="124">
        <f t="shared" si="41"/>
        <v>1.5</v>
      </c>
      <c r="K52" s="124">
        <f t="shared" si="42"/>
        <v>3.8520000000000003</v>
      </c>
      <c r="L52" s="124">
        <f t="shared" si="5"/>
        <v>2.19</v>
      </c>
      <c r="M52" s="125">
        <f t="shared" si="43"/>
        <v>1.74</v>
      </c>
      <c r="N52" s="126">
        <f t="shared" si="44"/>
        <v>1.44</v>
      </c>
      <c r="O52" s="126">
        <f t="shared" si="6"/>
        <v>1.1759999999999999</v>
      </c>
      <c r="P52" s="126">
        <f t="shared" si="6"/>
        <v>0.996</v>
      </c>
      <c r="Q52" s="127">
        <f t="shared" si="45"/>
        <v>7.9573039765625424</v>
      </c>
      <c r="R52" s="124">
        <f t="shared" si="46"/>
        <v>2.7600000000000002</v>
      </c>
      <c r="S52" s="127">
        <f t="shared" si="47"/>
        <v>6.2720000000000002</v>
      </c>
      <c r="T52" s="124">
        <f t="shared" si="48"/>
        <v>3.7919999999999998</v>
      </c>
      <c r="U52" s="124">
        <f t="shared" si="49"/>
        <v>0.93999999999999984</v>
      </c>
      <c r="V52" s="122">
        <f t="shared" si="50"/>
        <v>1.24</v>
      </c>
      <c r="W52" s="121">
        <f t="shared" si="38"/>
        <v>1.7669717839600836</v>
      </c>
      <c r="X52" s="122">
        <f t="shared" si="51"/>
        <v>28.584539127594027</v>
      </c>
    </row>
    <row r="53" spans="1:24" ht="12" customHeight="1">
      <c r="A53" s="129" t="str">
        <f t="shared" si="0"/>
        <v>I-1-1220</v>
      </c>
      <c r="B53" s="129" t="s">
        <v>148</v>
      </c>
      <c r="C53" s="130">
        <v>1</v>
      </c>
      <c r="D53" s="131">
        <v>1220</v>
      </c>
      <c r="E53" s="132">
        <v>0.1</v>
      </c>
      <c r="F53" s="132">
        <f t="shared" si="1"/>
        <v>1.42</v>
      </c>
      <c r="G53" s="132">
        <f t="shared" si="39"/>
        <v>4.1560000000000006</v>
      </c>
      <c r="H53" s="132">
        <f t="shared" si="40"/>
        <v>2.62</v>
      </c>
      <c r="I53" s="132"/>
      <c r="J53" s="132">
        <f t="shared" si="41"/>
        <v>1.5</v>
      </c>
      <c r="K53" s="132">
        <f t="shared" si="42"/>
        <v>3.9960000000000004</v>
      </c>
      <c r="L53" s="132">
        <f t="shared" si="5"/>
        <v>2.37</v>
      </c>
      <c r="M53" s="133">
        <f t="shared" si="43"/>
        <v>1.9200000000000002</v>
      </c>
      <c r="N53" s="134">
        <f t="shared" si="44"/>
        <v>1.62</v>
      </c>
      <c r="O53" s="134">
        <f t="shared" si="6"/>
        <v>1.248</v>
      </c>
      <c r="P53" s="134">
        <f t="shared" si="6"/>
        <v>1.0680000000000001</v>
      </c>
      <c r="Q53" s="135">
        <f t="shared" si="45"/>
        <v>9.4741253129338521</v>
      </c>
      <c r="R53" s="132">
        <f t="shared" si="46"/>
        <v>3.0300000000000002</v>
      </c>
      <c r="S53" s="135">
        <f t="shared" si="47"/>
        <v>6.7760000000000007</v>
      </c>
      <c r="T53" s="132">
        <f t="shared" si="48"/>
        <v>3.9359999999999999</v>
      </c>
      <c r="U53" s="132">
        <f t="shared" si="49"/>
        <v>1.1200000000000006</v>
      </c>
      <c r="V53" s="136">
        <f t="shared" si="50"/>
        <v>1.4200000000000002</v>
      </c>
      <c r="W53" s="137">
        <f t="shared" si="38"/>
        <v>2.058723143325385</v>
      </c>
      <c r="X53" s="136">
        <f t="shared" si="51"/>
        <v>34.395201591498825</v>
      </c>
    </row>
    <row r="54" spans="1:24" ht="12" customHeight="1">
      <c r="A54" s="138" t="str">
        <f t="shared" si="0"/>
        <v>I-2-600</v>
      </c>
      <c r="B54" s="138" t="s">
        <v>148</v>
      </c>
      <c r="C54" s="139">
        <v>2</v>
      </c>
      <c r="D54" s="140">
        <v>600</v>
      </c>
      <c r="E54" s="141">
        <v>0.06</v>
      </c>
      <c r="F54" s="141">
        <f t="shared" si="1"/>
        <v>0.72</v>
      </c>
      <c r="G54" s="141">
        <f t="shared" si="39"/>
        <v>4.0960000000000001</v>
      </c>
      <c r="H54" s="141">
        <f t="shared" si="40"/>
        <v>3.12</v>
      </c>
      <c r="I54" s="141"/>
      <c r="J54" s="141">
        <f t="shared" si="41"/>
        <v>1.5</v>
      </c>
      <c r="K54" s="141">
        <f t="shared" si="42"/>
        <v>3.4359999999999999</v>
      </c>
      <c r="L54" s="141">
        <f t="shared" si="5"/>
        <v>1.67</v>
      </c>
      <c r="M54" s="142">
        <f t="shared" si="43"/>
        <v>1.22</v>
      </c>
      <c r="N54" s="143">
        <f t="shared" si="44"/>
        <v>0.91999999999999993</v>
      </c>
      <c r="O54" s="143">
        <f t="shared" si="6"/>
        <v>0.96799999999999997</v>
      </c>
      <c r="P54" s="143">
        <f t="shared" si="6"/>
        <v>0.78800000000000003</v>
      </c>
      <c r="Q54" s="144">
        <f t="shared" si="45"/>
        <v>6.4492604827761593</v>
      </c>
      <c r="R54" s="141">
        <f t="shared" si="46"/>
        <v>3.7799999999999994</v>
      </c>
      <c r="S54" s="144">
        <f t="shared" si="47"/>
        <v>7.2160000000000002</v>
      </c>
      <c r="T54" s="141">
        <f t="shared" si="48"/>
        <v>3.3760000000000003</v>
      </c>
      <c r="U54" s="141">
        <f t="shared" si="49"/>
        <v>1.62</v>
      </c>
      <c r="V54" s="145">
        <f t="shared" si="50"/>
        <v>1.9200000000000002</v>
      </c>
      <c r="W54" s="146">
        <f t="shared" si="38"/>
        <v>1.6390991841895255</v>
      </c>
      <c r="X54" s="145">
        <f t="shared" si="51"/>
        <v>17.865166397628428</v>
      </c>
    </row>
    <row r="55" spans="1:24" ht="12" customHeight="1">
      <c r="A55" s="115" t="str">
        <f t="shared" si="0"/>
        <v>I-2-760</v>
      </c>
      <c r="B55" s="115" t="s">
        <v>148</v>
      </c>
      <c r="C55" s="116">
        <v>2</v>
      </c>
      <c r="D55" s="117">
        <v>760</v>
      </c>
      <c r="E55" s="118">
        <v>7.0000000000000007E-2</v>
      </c>
      <c r="F55" s="118">
        <f t="shared" si="1"/>
        <v>0.9</v>
      </c>
      <c r="G55" s="118">
        <f t="shared" si="39"/>
        <v>4.72</v>
      </c>
      <c r="H55" s="118">
        <f t="shared" si="40"/>
        <v>3.6</v>
      </c>
      <c r="I55" s="118"/>
      <c r="J55" s="118">
        <f t="shared" si="41"/>
        <v>1.5</v>
      </c>
      <c r="K55" s="118">
        <f t="shared" si="42"/>
        <v>3.58</v>
      </c>
      <c r="L55" s="118">
        <f t="shared" si="5"/>
        <v>1.85</v>
      </c>
      <c r="M55" s="119">
        <f t="shared" si="43"/>
        <v>1.4000000000000001</v>
      </c>
      <c r="N55" s="120">
        <f t="shared" si="44"/>
        <v>1.1000000000000001</v>
      </c>
      <c r="O55" s="120">
        <f t="shared" si="6"/>
        <v>1.04</v>
      </c>
      <c r="P55" s="120">
        <f t="shared" si="6"/>
        <v>0.8600000000000001</v>
      </c>
      <c r="Q55" s="121">
        <f t="shared" si="45"/>
        <v>8.4976288334484114</v>
      </c>
      <c r="R55" s="118">
        <f t="shared" si="46"/>
        <v>4.5</v>
      </c>
      <c r="S55" s="121">
        <f t="shared" si="47"/>
        <v>8.32</v>
      </c>
      <c r="T55" s="118">
        <f t="shared" si="48"/>
        <v>3.5200000000000005</v>
      </c>
      <c r="U55" s="118">
        <f t="shared" si="49"/>
        <v>2.0999999999999996</v>
      </c>
      <c r="V55" s="122">
        <f t="shared" si="50"/>
        <v>2.4000000000000004</v>
      </c>
      <c r="W55" s="121">
        <f t="shared" si="38"/>
        <v>2.1926549752961337</v>
      </c>
      <c r="X55" s="122">
        <f t="shared" si="51"/>
        <v>23.049328246294415</v>
      </c>
    </row>
    <row r="56" spans="1:24" ht="12" customHeight="1">
      <c r="A56" s="115" t="str">
        <f t="shared" si="0"/>
        <v>I-2-900</v>
      </c>
      <c r="B56" s="115" t="s">
        <v>148</v>
      </c>
      <c r="C56" s="116">
        <v>2</v>
      </c>
      <c r="D56" s="123">
        <v>900</v>
      </c>
      <c r="E56" s="124">
        <v>0.08</v>
      </c>
      <c r="F56" s="124">
        <f t="shared" si="1"/>
        <v>1.06</v>
      </c>
      <c r="G56" s="124">
        <f t="shared" si="39"/>
        <v>5.2746666666666666</v>
      </c>
      <c r="H56" s="124">
        <f t="shared" si="40"/>
        <v>4.0266666666666664</v>
      </c>
      <c r="I56" s="124"/>
      <c r="J56" s="124">
        <f t="shared" si="41"/>
        <v>1.5</v>
      </c>
      <c r="K56" s="124">
        <f t="shared" si="42"/>
        <v>3.7080000000000002</v>
      </c>
      <c r="L56" s="124">
        <f t="shared" si="5"/>
        <v>2.0099999999999998</v>
      </c>
      <c r="M56" s="125">
        <f t="shared" si="43"/>
        <v>1.5599999999999998</v>
      </c>
      <c r="N56" s="126">
        <f t="shared" si="44"/>
        <v>1.2599999999999998</v>
      </c>
      <c r="O56" s="126">
        <f t="shared" si="6"/>
        <v>1.1039999999999999</v>
      </c>
      <c r="P56" s="126">
        <f t="shared" si="6"/>
        <v>0.92399999999999993</v>
      </c>
      <c r="Q56" s="127">
        <f t="shared" si="45"/>
        <v>10.609641779543704</v>
      </c>
      <c r="R56" s="124">
        <f t="shared" si="46"/>
        <v>5.14</v>
      </c>
      <c r="S56" s="127">
        <f t="shared" si="47"/>
        <v>9.3013333333333321</v>
      </c>
      <c r="T56" s="124">
        <f t="shared" si="48"/>
        <v>3.6479999999999997</v>
      </c>
      <c r="U56" s="124">
        <f t="shared" si="49"/>
        <v>2.5266666666666668</v>
      </c>
      <c r="V56" s="122">
        <f t="shared" si="50"/>
        <v>2.8266666666666662</v>
      </c>
      <c r="W56" s="121">
        <f t="shared" si="38"/>
        <v>2.7443199138799201</v>
      </c>
      <c r="X56" s="122">
        <f t="shared" si="51"/>
        <v>28.36842102708199</v>
      </c>
    </row>
    <row r="57" spans="1:24" ht="12" customHeight="1">
      <c r="A57" s="115" t="str">
        <f t="shared" si="0"/>
        <v>I-2-1060</v>
      </c>
      <c r="B57" s="115" t="s">
        <v>148</v>
      </c>
      <c r="C57" s="116">
        <v>2</v>
      </c>
      <c r="D57" s="123">
        <v>1060</v>
      </c>
      <c r="E57" s="124">
        <v>0.09</v>
      </c>
      <c r="F57" s="124">
        <f t="shared" si="1"/>
        <v>1.24</v>
      </c>
      <c r="G57" s="124">
        <f t="shared" si="39"/>
        <v>5.8986666666666654</v>
      </c>
      <c r="H57" s="124">
        <f t="shared" si="40"/>
        <v>4.5066666666666668</v>
      </c>
      <c r="I57" s="124"/>
      <c r="J57" s="124">
        <f t="shared" si="41"/>
        <v>1.5</v>
      </c>
      <c r="K57" s="124">
        <f t="shared" si="42"/>
        <v>3.8520000000000003</v>
      </c>
      <c r="L57" s="124">
        <f t="shared" si="5"/>
        <v>2.19</v>
      </c>
      <c r="M57" s="125">
        <f t="shared" si="43"/>
        <v>1.74</v>
      </c>
      <c r="N57" s="126">
        <f t="shared" si="44"/>
        <v>1.44</v>
      </c>
      <c r="O57" s="126">
        <f t="shared" si="6"/>
        <v>1.1759999999999999</v>
      </c>
      <c r="P57" s="126">
        <f t="shared" si="6"/>
        <v>0.996</v>
      </c>
      <c r="Q57" s="127">
        <f t="shared" si="45"/>
        <v>13.337250353125086</v>
      </c>
      <c r="R57" s="124">
        <f t="shared" si="46"/>
        <v>5.8599999999999994</v>
      </c>
      <c r="S57" s="127">
        <f t="shared" si="47"/>
        <v>10.405333333333331</v>
      </c>
      <c r="T57" s="124">
        <f t="shared" si="48"/>
        <v>3.7919999999999998</v>
      </c>
      <c r="U57" s="124">
        <f t="shared" si="49"/>
        <v>3.0066666666666655</v>
      </c>
      <c r="V57" s="122">
        <f t="shared" si="50"/>
        <v>3.3066666666666666</v>
      </c>
      <c r="W57" s="121">
        <f t="shared" si="38"/>
        <v>3.432010234586834</v>
      </c>
      <c r="X57" s="122">
        <f t="shared" si="51"/>
        <v>35.206530895188031</v>
      </c>
    </row>
    <row r="58" spans="1:24" ht="12" customHeight="1">
      <c r="A58" s="147" t="str">
        <f t="shared" si="0"/>
        <v>I-2-1220</v>
      </c>
      <c r="B58" s="147" t="s">
        <v>148</v>
      </c>
      <c r="C58" s="148">
        <v>2</v>
      </c>
      <c r="D58" s="149">
        <v>1220</v>
      </c>
      <c r="E58" s="150">
        <v>0.1</v>
      </c>
      <c r="F58" s="150">
        <f t="shared" si="1"/>
        <v>1.42</v>
      </c>
      <c r="G58" s="150">
        <f t="shared" si="39"/>
        <v>6.5226666666666659</v>
      </c>
      <c r="H58" s="150">
        <f t="shared" si="40"/>
        <v>4.9866666666666664</v>
      </c>
      <c r="I58" s="150"/>
      <c r="J58" s="150">
        <f t="shared" si="41"/>
        <v>1.5</v>
      </c>
      <c r="K58" s="150">
        <f t="shared" si="42"/>
        <v>3.9960000000000004</v>
      </c>
      <c r="L58" s="150">
        <f t="shared" si="5"/>
        <v>2.37</v>
      </c>
      <c r="M58" s="151">
        <f t="shared" si="43"/>
        <v>1.9200000000000002</v>
      </c>
      <c r="N58" s="152">
        <f t="shared" si="44"/>
        <v>1.62</v>
      </c>
      <c r="O58" s="152">
        <f t="shared" si="6"/>
        <v>1.248</v>
      </c>
      <c r="P58" s="152">
        <f t="shared" si="6"/>
        <v>1.0680000000000001</v>
      </c>
      <c r="Q58" s="153">
        <f t="shared" si="45"/>
        <v>16.4624914258677</v>
      </c>
      <c r="R58" s="150">
        <f t="shared" si="46"/>
        <v>6.5799999999999983</v>
      </c>
      <c r="S58" s="153">
        <f t="shared" si="47"/>
        <v>11.509333333333332</v>
      </c>
      <c r="T58" s="150">
        <f t="shared" si="48"/>
        <v>3.9359999999999999</v>
      </c>
      <c r="U58" s="150">
        <f t="shared" si="49"/>
        <v>3.4866666666666659</v>
      </c>
      <c r="V58" s="154">
        <f t="shared" si="50"/>
        <v>3.7866666666666662</v>
      </c>
      <c r="W58" s="155">
        <f t="shared" si="38"/>
        <v>4.190712953317437</v>
      </c>
      <c r="X58" s="154">
        <f t="shared" si="51"/>
        <v>43.006522062997632</v>
      </c>
    </row>
    <row r="59" spans="1:24" ht="12" customHeight="1">
      <c r="A59" s="156" t="str">
        <f t="shared" si="0"/>
        <v>I-3-600</v>
      </c>
      <c r="B59" s="156" t="s">
        <v>148</v>
      </c>
      <c r="C59" s="157">
        <v>3</v>
      </c>
      <c r="D59" s="158">
        <v>600</v>
      </c>
      <c r="E59" s="159">
        <v>0.06</v>
      </c>
      <c r="F59" s="159">
        <f t="shared" si="1"/>
        <v>0.72</v>
      </c>
      <c r="G59" s="159">
        <f t="shared" si="39"/>
        <v>5.2960000000000003</v>
      </c>
      <c r="H59" s="159">
        <f t="shared" si="40"/>
        <v>4.32</v>
      </c>
      <c r="I59" s="159"/>
      <c r="J59" s="159">
        <f t="shared" si="41"/>
        <v>1.5</v>
      </c>
      <c r="K59" s="159">
        <f t="shared" si="42"/>
        <v>3.4359999999999999</v>
      </c>
      <c r="L59" s="159">
        <f t="shared" si="5"/>
        <v>1.67</v>
      </c>
      <c r="M59" s="160">
        <f t="shared" si="43"/>
        <v>1.22</v>
      </c>
      <c r="N59" s="161">
        <f t="shared" si="44"/>
        <v>0.91999999999999993</v>
      </c>
      <c r="O59" s="161">
        <f t="shared" si="6"/>
        <v>0.96799999999999997</v>
      </c>
      <c r="P59" s="161">
        <f t="shared" si="6"/>
        <v>0.78800000000000003</v>
      </c>
      <c r="Q59" s="162">
        <f t="shared" si="45"/>
        <v>8.4945991241642407</v>
      </c>
      <c r="R59" s="159">
        <f t="shared" si="46"/>
        <v>5.58</v>
      </c>
      <c r="S59" s="162">
        <f t="shared" si="47"/>
        <v>9.6159999999999997</v>
      </c>
      <c r="T59" s="159">
        <f t="shared" si="48"/>
        <v>3.3760000000000003</v>
      </c>
      <c r="U59" s="159">
        <f t="shared" si="49"/>
        <v>2.8200000000000003</v>
      </c>
      <c r="V59" s="163">
        <f t="shared" si="50"/>
        <v>3.12</v>
      </c>
      <c r="W59" s="164">
        <f t="shared" si="38"/>
        <v>2.275948776284288</v>
      </c>
      <c r="X59" s="163">
        <f t="shared" si="51"/>
        <v>20.379005836442644</v>
      </c>
    </row>
    <row r="60" spans="1:24" ht="12" customHeight="1">
      <c r="A60" s="115" t="str">
        <f t="shared" si="0"/>
        <v>I-3-760</v>
      </c>
      <c r="B60" s="115" t="s">
        <v>148</v>
      </c>
      <c r="C60" s="116">
        <v>3</v>
      </c>
      <c r="D60" s="117">
        <v>760</v>
      </c>
      <c r="E60" s="118">
        <v>7.0000000000000007E-2</v>
      </c>
      <c r="F60" s="118">
        <f t="shared" si="1"/>
        <v>0.9</v>
      </c>
      <c r="G60" s="118">
        <f t="shared" si="39"/>
        <v>6.2200000000000006</v>
      </c>
      <c r="H60" s="118">
        <f t="shared" si="40"/>
        <v>5.0999999999999996</v>
      </c>
      <c r="I60" s="118"/>
      <c r="J60" s="118">
        <f t="shared" si="41"/>
        <v>1.5</v>
      </c>
      <c r="K60" s="118">
        <f t="shared" si="42"/>
        <v>3.58</v>
      </c>
      <c r="L60" s="118">
        <f t="shared" si="5"/>
        <v>1.85</v>
      </c>
      <c r="M60" s="119">
        <f t="shared" si="43"/>
        <v>1.4000000000000001</v>
      </c>
      <c r="N60" s="120">
        <f t="shared" si="44"/>
        <v>1.1000000000000001</v>
      </c>
      <c r="O60" s="120">
        <f t="shared" si="6"/>
        <v>1.04</v>
      </c>
      <c r="P60" s="120">
        <f t="shared" si="6"/>
        <v>0.8600000000000001</v>
      </c>
      <c r="Q60" s="121">
        <f t="shared" si="45"/>
        <v>11.492893250172612</v>
      </c>
      <c r="R60" s="118">
        <f t="shared" si="46"/>
        <v>6.75</v>
      </c>
      <c r="S60" s="121">
        <f t="shared" si="47"/>
        <v>11.32</v>
      </c>
      <c r="T60" s="118">
        <f t="shared" si="48"/>
        <v>3.5200000000000005</v>
      </c>
      <c r="U60" s="118">
        <f t="shared" si="49"/>
        <v>3.6</v>
      </c>
      <c r="V60" s="122">
        <f t="shared" si="50"/>
        <v>3.8999999999999995</v>
      </c>
      <c r="W60" s="121">
        <f t="shared" si="38"/>
        <v>3.1314824629442004</v>
      </c>
      <c r="X60" s="122">
        <f t="shared" si="51"/>
        <v>26.730902369441651</v>
      </c>
    </row>
    <row r="61" spans="1:24" ht="12" customHeight="1">
      <c r="A61" s="115" t="str">
        <f t="shared" si="0"/>
        <v>I-3-900</v>
      </c>
      <c r="B61" s="115" t="s">
        <v>148</v>
      </c>
      <c r="C61" s="116">
        <v>3</v>
      </c>
      <c r="D61" s="123">
        <v>900</v>
      </c>
      <c r="E61" s="124">
        <v>0.08</v>
      </c>
      <c r="F61" s="124">
        <f t="shared" si="1"/>
        <v>1.06</v>
      </c>
      <c r="G61" s="124">
        <f t="shared" si="39"/>
        <v>7.0413333333333323</v>
      </c>
      <c r="H61" s="124">
        <f t="shared" si="40"/>
        <v>5.793333333333333</v>
      </c>
      <c r="I61" s="124"/>
      <c r="J61" s="124">
        <f t="shared" si="41"/>
        <v>1.5</v>
      </c>
      <c r="K61" s="124">
        <f t="shared" si="42"/>
        <v>3.7080000000000002</v>
      </c>
      <c r="L61" s="124">
        <f t="shared" si="5"/>
        <v>2.0099999999999998</v>
      </c>
      <c r="M61" s="125">
        <f t="shared" si="43"/>
        <v>1.5599999999999998</v>
      </c>
      <c r="N61" s="126">
        <f t="shared" si="44"/>
        <v>1.2599999999999998</v>
      </c>
      <c r="O61" s="126">
        <f t="shared" si="6"/>
        <v>1.1039999999999999</v>
      </c>
      <c r="P61" s="126">
        <f t="shared" si="6"/>
        <v>0.92399999999999993</v>
      </c>
      <c r="Q61" s="127">
        <f t="shared" si="45"/>
        <v>14.625949469315559</v>
      </c>
      <c r="R61" s="124">
        <f t="shared" si="46"/>
        <v>7.79</v>
      </c>
      <c r="S61" s="127">
        <f t="shared" si="47"/>
        <v>12.834666666666665</v>
      </c>
      <c r="T61" s="124">
        <f t="shared" si="48"/>
        <v>3.6479999999999997</v>
      </c>
      <c r="U61" s="124">
        <f t="shared" si="49"/>
        <v>4.2933333333333321</v>
      </c>
      <c r="V61" s="122">
        <f t="shared" si="50"/>
        <v>4.5933333333333328</v>
      </c>
      <c r="W61" s="121">
        <f t="shared" si="38"/>
        <v>3.9995132041532142</v>
      </c>
      <c r="X61" s="122">
        <f t="shared" si="51"/>
        <v>33.307514020622982</v>
      </c>
    </row>
    <row r="62" spans="1:24" ht="12" customHeight="1">
      <c r="A62" s="115" t="str">
        <f t="shared" si="0"/>
        <v>I-3-1060</v>
      </c>
      <c r="B62" s="115" t="s">
        <v>148</v>
      </c>
      <c r="C62" s="116">
        <v>3</v>
      </c>
      <c r="D62" s="123">
        <v>1060</v>
      </c>
      <c r="E62" s="124">
        <v>0.09</v>
      </c>
      <c r="F62" s="124">
        <f t="shared" si="1"/>
        <v>1.24</v>
      </c>
      <c r="G62" s="124">
        <f t="shared" si="39"/>
        <v>7.9653333333333336</v>
      </c>
      <c r="H62" s="124">
        <f t="shared" si="40"/>
        <v>6.5733333333333324</v>
      </c>
      <c r="I62" s="124"/>
      <c r="J62" s="124">
        <f t="shared" si="41"/>
        <v>1.5</v>
      </c>
      <c r="K62" s="124">
        <f t="shared" si="42"/>
        <v>3.8520000000000003</v>
      </c>
      <c r="L62" s="124">
        <f t="shared" si="5"/>
        <v>2.19</v>
      </c>
      <c r="M62" s="125">
        <f t="shared" si="43"/>
        <v>1.74</v>
      </c>
      <c r="N62" s="126">
        <f t="shared" si="44"/>
        <v>1.44</v>
      </c>
      <c r="O62" s="126">
        <f t="shared" si="6"/>
        <v>1.1759999999999999</v>
      </c>
      <c r="P62" s="126">
        <f t="shared" si="6"/>
        <v>0.996</v>
      </c>
      <c r="Q62" s="127">
        <f t="shared" si="45"/>
        <v>18.717196729687629</v>
      </c>
      <c r="R62" s="124">
        <f t="shared" si="46"/>
        <v>8.9599999999999991</v>
      </c>
      <c r="S62" s="127">
        <f t="shared" si="47"/>
        <v>14.538666666666666</v>
      </c>
      <c r="T62" s="124">
        <f t="shared" si="48"/>
        <v>3.7919999999999998</v>
      </c>
      <c r="U62" s="124">
        <f t="shared" si="49"/>
        <v>5.0733333333333333</v>
      </c>
      <c r="V62" s="122">
        <f t="shared" si="50"/>
        <v>5.3733333333333322</v>
      </c>
      <c r="W62" s="121">
        <f t="shared" si="38"/>
        <v>5.0970486852135846</v>
      </c>
      <c r="X62" s="122">
        <f t="shared" si="51"/>
        <v>41.828522662782049</v>
      </c>
    </row>
    <row r="63" spans="1:24" ht="12" customHeight="1" thickBot="1">
      <c r="A63" s="165" t="str">
        <f t="shared" si="0"/>
        <v>I-3-1220</v>
      </c>
      <c r="B63" s="165" t="s">
        <v>148</v>
      </c>
      <c r="C63" s="166">
        <v>3</v>
      </c>
      <c r="D63" s="167">
        <v>1220</v>
      </c>
      <c r="E63" s="168">
        <v>0.1</v>
      </c>
      <c r="F63" s="168">
        <f t="shared" si="1"/>
        <v>1.42</v>
      </c>
      <c r="G63" s="168">
        <f t="shared" si="39"/>
        <v>8.8893333333333331</v>
      </c>
      <c r="H63" s="168">
        <f t="shared" si="40"/>
        <v>7.3533333333333326</v>
      </c>
      <c r="I63" s="168"/>
      <c r="J63" s="168">
        <f t="shared" si="41"/>
        <v>1.5</v>
      </c>
      <c r="K63" s="168">
        <f t="shared" si="42"/>
        <v>3.9960000000000004</v>
      </c>
      <c r="L63" s="168">
        <f t="shared" si="5"/>
        <v>2.37</v>
      </c>
      <c r="M63" s="169">
        <f t="shared" si="43"/>
        <v>1.9200000000000002</v>
      </c>
      <c r="N63" s="170">
        <f t="shared" si="44"/>
        <v>1.62</v>
      </c>
      <c r="O63" s="170">
        <f t="shared" si="6"/>
        <v>1.248</v>
      </c>
      <c r="P63" s="170">
        <f t="shared" si="6"/>
        <v>1.0680000000000001</v>
      </c>
      <c r="Q63" s="171">
        <f t="shared" si="45"/>
        <v>23.450857538801547</v>
      </c>
      <c r="R63" s="168">
        <f t="shared" si="46"/>
        <v>10.129999999999999</v>
      </c>
      <c r="S63" s="171">
        <f t="shared" si="47"/>
        <v>16.242666666666665</v>
      </c>
      <c r="T63" s="168">
        <f t="shared" si="48"/>
        <v>3.9359999999999999</v>
      </c>
      <c r="U63" s="168">
        <f t="shared" si="49"/>
        <v>5.8533333333333326</v>
      </c>
      <c r="V63" s="172">
        <f t="shared" si="50"/>
        <v>6.1533333333333324</v>
      </c>
      <c r="W63" s="173">
        <f t="shared" si="38"/>
        <v>6.3227027633094872</v>
      </c>
      <c r="X63" s="172">
        <f t="shared" si="51"/>
        <v>51.617842534496447</v>
      </c>
    </row>
    <row r="64" spans="1:24">
      <c r="A64" s="106" t="str">
        <f t="shared" si="0"/>
        <v>R+C-1-600</v>
      </c>
      <c r="B64" s="106" t="s">
        <v>149</v>
      </c>
      <c r="C64" s="107">
        <v>1</v>
      </c>
      <c r="D64" s="108">
        <v>600</v>
      </c>
      <c r="E64" s="109">
        <v>0.06</v>
      </c>
      <c r="F64" s="109">
        <f t="shared" si="1"/>
        <v>0.72</v>
      </c>
      <c r="G64" s="110">
        <f>2.5+1</f>
        <v>3.5</v>
      </c>
      <c r="H64" s="175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7"/>
    </row>
    <row r="65" spans="1:24">
      <c r="A65" s="115" t="str">
        <f t="shared" si="0"/>
        <v>R+C-1-760</v>
      </c>
      <c r="B65" s="115" t="s">
        <v>149</v>
      </c>
      <c r="C65" s="116">
        <v>1</v>
      </c>
      <c r="D65" s="117">
        <v>760</v>
      </c>
      <c r="E65" s="118">
        <v>7.0000000000000007E-2</v>
      </c>
      <c r="F65" s="118">
        <f t="shared" si="1"/>
        <v>0.9</v>
      </c>
      <c r="G65" s="119">
        <f>2.5+1</f>
        <v>3.5</v>
      </c>
      <c r="H65" s="178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80"/>
    </row>
    <row r="66" spans="1:24">
      <c r="A66" s="115" t="str">
        <f t="shared" si="0"/>
        <v>R+C-1-900</v>
      </c>
      <c r="B66" s="115" t="s">
        <v>149</v>
      </c>
      <c r="C66" s="116">
        <v>1</v>
      </c>
      <c r="D66" s="123">
        <v>900</v>
      </c>
      <c r="E66" s="124">
        <v>0.08</v>
      </c>
      <c r="F66" s="124">
        <f t="shared" si="1"/>
        <v>1.06</v>
      </c>
      <c r="G66" s="125">
        <f>2.5+1</f>
        <v>3.5</v>
      </c>
      <c r="H66" s="178"/>
      <c r="I66" s="179"/>
      <c r="J66" s="179"/>
      <c r="K66" s="179"/>
      <c r="L66" s="179"/>
      <c r="M66" s="179"/>
      <c r="N66" s="179"/>
      <c r="O66" s="179"/>
      <c r="P66" s="179"/>
      <c r="Q66" s="179"/>
      <c r="R66" s="179"/>
      <c r="S66" s="179"/>
      <c r="T66" s="179"/>
      <c r="U66" s="179"/>
      <c r="V66" s="179"/>
      <c r="W66" s="179"/>
      <c r="X66" s="180"/>
    </row>
    <row r="67" spans="1:24">
      <c r="A67" s="115" t="str">
        <f t="shared" si="0"/>
        <v>R+C-1-1060</v>
      </c>
      <c r="B67" s="115" t="s">
        <v>149</v>
      </c>
      <c r="C67" s="116">
        <v>1</v>
      </c>
      <c r="D67" s="123">
        <v>1060</v>
      </c>
      <c r="E67" s="124">
        <v>0.09</v>
      </c>
      <c r="F67" s="124">
        <f t="shared" si="1"/>
        <v>1.24</v>
      </c>
      <c r="G67" s="125">
        <f>2.5+1</f>
        <v>3.5</v>
      </c>
      <c r="H67" s="178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79"/>
      <c r="X67" s="180"/>
    </row>
    <row r="68" spans="1:24">
      <c r="A68" s="129" t="str">
        <f t="shared" si="0"/>
        <v>R+C-1-1220</v>
      </c>
      <c r="B68" s="129" t="s">
        <v>149</v>
      </c>
      <c r="C68" s="130">
        <v>1</v>
      </c>
      <c r="D68" s="131">
        <v>1220</v>
      </c>
      <c r="E68" s="132">
        <v>0.1</v>
      </c>
      <c r="F68" s="132">
        <f t="shared" si="1"/>
        <v>1.42</v>
      </c>
      <c r="G68" s="133">
        <f>1.5+1.5</f>
        <v>3</v>
      </c>
      <c r="H68" s="178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79"/>
      <c r="X68" s="180"/>
    </row>
    <row r="69" spans="1:24">
      <c r="A69" s="138" t="str">
        <f t="shared" ref="A69:A78" si="52">CONCATENATE(B69,"-",C69,"-",D69)</f>
        <v>R+C-2-600</v>
      </c>
      <c r="B69" s="138" t="s">
        <v>149</v>
      </c>
      <c r="C69" s="139">
        <v>2</v>
      </c>
      <c r="D69" s="140">
        <v>600</v>
      </c>
      <c r="E69" s="141">
        <v>0.06</v>
      </c>
      <c r="F69" s="141">
        <f t="shared" ref="F69:F78" si="53">D69/1000+2*E69</f>
        <v>0.72</v>
      </c>
      <c r="G69" s="142">
        <f>2.5+3</f>
        <v>5.5</v>
      </c>
      <c r="H69" s="178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80"/>
    </row>
    <row r="70" spans="1:24">
      <c r="A70" s="115" t="str">
        <f t="shared" si="52"/>
        <v>R+C-2-760</v>
      </c>
      <c r="B70" s="115" t="s">
        <v>149</v>
      </c>
      <c r="C70" s="116">
        <v>2</v>
      </c>
      <c r="D70" s="117">
        <v>760</v>
      </c>
      <c r="E70" s="118">
        <v>7.0000000000000007E-2</v>
      </c>
      <c r="F70" s="118">
        <f t="shared" si="53"/>
        <v>0.9</v>
      </c>
      <c r="G70" s="119">
        <f>2.5+3</f>
        <v>5.5</v>
      </c>
      <c r="H70" s="178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80"/>
    </row>
    <row r="71" spans="1:24">
      <c r="A71" s="115" t="str">
        <f t="shared" si="52"/>
        <v>R+C-2-900</v>
      </c>
      <c r="B71" s="115" t="s">
        <v>149</v>
      </c>
      <c r="C71" s="116">
        <v>2</v>
      </c>
      <c r="D71" s="123">
        <v>900</v>
      </c>
      <c r="E71" s="124">
        <v>0.08</v>
      </c>
      <c r="F71" s="124">
        <f t="shared" si="53"/>
        <v>1.06</v>
      </c>
      <c r="G71" s="125">
        <f>2.5+3</f>
        <v>5.5</v>
      </c>
      <c r="H71" s="178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80"/>
    </row>
    <row r="72" spans="1:24">
      <c r="A72" s="115" t="str">
        <f t="shared" si="52"/>
        <v>R+C-2-1060</v>
      </c>
      <c r="B72" s="115" t="s">
        <v>149</v>
      </c>
      <c r="C72" s="116">
        <v>2</v>
      </c>
      <c r="D72" s="123">
        <v>1060</v>
      </c>
      <c r="E72" s="124">
        <v>0.09</v>
      </c>
      <c r="F72" s="124">
        <f t="shared" si="53"/>
        <v>1.24</v>
      </c>
      <c r="G72" s="125">
        <f>2.5+3</f>
        <v>5.5</v>
      </c>
      <c r="H72" s="178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80"/>
    </row>
    <row r="73" spans="1:24">
      <c r="A73" s="147" t="str">
        <f t="shared" si="52"/>
        <v>R+C-2-1220</v>
      </c>
      <c r="B73" s="147" t="s">
        <v>149</v>
      </c>
      <c r="C73" s="148">
        <v>2</v>
      </c>
      <c r="D73" s="149">
        <v>1220</v>
      </c>
      <c r="E73" s="150">
        <v>0.1</v>
      </c>
      <c r="F73" s="150">
        <f t="shared" si="53"/>
        <v>1.42</v>
      </c>
      <c r="G73" s="151">
        <f>2.5+4</f>
        <v>6.5</v>
      </c>
      <c r="H73" s="178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79"/>
      <c r="X73" s="180"/>
    </row>
    <row r="74" spans="1:24">
      <c r="A74" s="156" t="str">
        <f t="shared" si="52"/>
        <v>R+C-3-600</v>
      </c>
      <c r="B74" s="156" t="s">
        <v>149</v>
      </c>
      <c r="C74" s="157">
        <v>3</v>
      </c>
      <c r="D74" s="158">
        <v>600</v>
      </c>
      <c r="E74" s="159">
        <v>0.06</v>
      </c>
      <c r="F74" s="159">
        <f t="shared" si="53"/>
        <v>0.72</v>
      </c>
      <c r="G74" s="160">
        <f>2.5+5</f>
        <v>7.5</v>
      </c>
      <c r="H74" s="178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80"/>
    </row>
    <row r="75" spans="1:24">
      <c r="A75" s="115" t="str">
        <f t="shared" si="52"/>
        <v>R+C-3-760</v>
      </c>
      <c r="B75" s="115" t="s">
        <v>149</v>
      </c>
      <c r="C75" s="116">
        <v>3</v>
      </c>
      <c r="D75" s="117">
        <v>760</v>
      </c>
      <c r="E75" s="118">
        <v>7.0000000000000007E-2</v>
      </c>
      <c r="F75" s="118">
        <f t="shared" si="53"/>
        <v>0.9</v>
      </c>
      <c r="G75" s="119">
        <f>2.5+5</f>
        <v>7.5</v>
      </c>
      <c r="H75" s="178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80"/>
    </row>
    <row r="76" spans="1:24">
      <c r="A76" s="115" t="str">
        <f t="shared" si="52"/>
        <v>R+C-3-900</v>
      </c>
      <c r="B76" s="115" t="s">
        <v>149</v>
      </c>
      <c r="C76" s="116">
        <v>3</v>
      </c>
      <c r="D76" s="123">
        <v>900</v>
      </c>
      <c r="E76" s="124">
        <v>0.08</v>
      </c>
      <c r="F76" s="124">
        <f t="shared" si="53"/>
        <v>1.06</v>
      </c>
      <c r="G76" s="125">
        <f>2.5+5</f>
        <v>7.5</v>
      </c>
      <c r="H76" s="178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79"/>
      <c r="X76" s="180"/>
    </row>
    <row r="77" spans="1:24">
      <c r="A77" s="115" t="str">
        <f t="shared" si="52"/>
        <v>R+C-3-1060</v>
      </c>
      <c r="B77" s="115" t="s">
        <v>149</v>
      </c>
      <c r="C77" s="116">
        <v>3</v>
      </c>
      <c r="D77" s="123">
        <v>1060</v>
      </c>
      <c r="E77" s="124">
        <v>0.09</v>
      </c>
      <c r="F77" s="124">
        <f t="shared" si="53"/>
        <v>1.24</v>
      </c>
      <c r="G77" s="125">
        <f>2.5+5</f>
        <v>7.5</v>
      </c>
      <c r="H77" s="178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80"/>
    </row>
    <row r="78" spans="1:24" ht="13.5" thickBot="1">
      <c r="A78" s="165" t="str">
        <f t="shared" si="52"/>
        <v>R+C-3-1220</v>
      </c>
      <c r="B78" s="165" t="s">
        <v>149</v>
      </c>
      <c r="C78" s="166">
        <v>3</v>
      </c>
      <c r="D78" s="167">
        <v>1220</v>
      </c>
      <c r="E78" s="168">
        <v>0.1</v>
      </c>
      <c r="F78" s="168">
        <f t="shared" si="53"/>
        <v>1.42</v>
      </c>
      <c r="G78" s="169">
        <f>2.5+6</f>
        <v>8.5</v>
      </c>
      <c r="H78" s="181"/>
      <c r="I78" s="182"/>
      <c r="J78" s="182"/>
      <c r="K78" s="182"/>
      <c r="L78" s="182"/>
      <c r="M78" s="18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3"/>
    </row>
    <row r="80" spans="1:24" s="43" customFormat="1" ht="15">
      <c r="A80" s="198"/>
      <c r="B80" s="199"/>
      <c r="C80" s="200" t="s">
        <v>57</v>
      </c>
      <c r="D80" s="95"/>
      <c r="E80" s="95"/>
      <c r="F80" s="95"/>
      <c r="G80" s="95"/>
      <c r="H80" s="95"/>
      <c r="I80" s="95"/>
      <c r="J80" s="95"/>
      <c r="K80" s="96"/>
      <c r="L80" s="51"/>
      <c r="M80" s="51"/>
      <c r="N80" s="51"/>
      <c r="O80" s="51"/>
      <c r="P80" s="51"/>
      <c r="Q80" s="51"/>
      <c r="R80" s="51"/>
      <c r="S80" s="51"/>
    </row>
    <row r="81" spans="1:24" s="43" customFormat="1" ht="75.75" thickBot="1">
      <c r="A81" s="184"/>
      <c r="B81" s="185"/>
      <c r="C81" s="185"/>
      <c r="D81" s="186" t="s">
        <v>58</v>
      </c>
      <c r="E81" s="186" t="s">
        <v>59</v>
      </c>
      <c r="F81" s="186" t="s">
        <v>60</v>
      </c>
      <c r="G81" s="186" t="s">
        <v>61</v>
      </c>
      <c r="H81" s="186" t="s">
        <v>62</v>
      </c>
      <c r="I81" s="186" t="s">
        <v>63</v>
      </c>
      <c r="J81" s="186" t="s">
        <v>64</v>
      </c>
      <c r="K81" s="202" t="s">
        <v>56</v>
      </c>
      <c r="L81" s="53" t="s">
        <v>65</v>
      </c>
      <c r="M81"/>
      <c r="N81"/>
      <c r="O81"/>
      <c r="P81" s="54"/>
      <c r="Q81" s="54"/>
      <c r="R81" s="54"/>
    </row>
    <row r="82" spans="1:24" s="43" customFormat="1" ht="15.75" thickTop="1">
      <c r="A82" s="187" t="str">
        <f>D82&amp;E82</f>
        <v>1910</v>
      </c>
      <c r="B82" s="52" t="s">
        <v>7</v>
      </c>
      <c r="C82" s="44" t="s">
        <v>51</v>
      </c>
      <c r="D82" s="45">
        <v>1</v>
      </c>
      <c r="E82" s="55">
        <v>910</v>
      </c>
      <c r="F82" s="46">
        <v>0.08</v>
      </c>
      <c r="G82" s="47">
        <v>1.06</v>
      </c>
      <c r="H82" s="56">
        <f>D82*G82+2*0.45+(D82-1)*2/3*G82</f>
        <v>1.96</v>
      </c>
      <c r="I82" s="57">
        <f t="shared" ref="I82:I90" si="54">G82+0.15</f>
        <v>1.21</v>
      </c>
      <c r="J82" s="56">
        <f>D82*PI()*G82^2/4</f>
        <v>0.88247337639337298</v>
      </c>
      <c r="K82" s="188">
        <f t="shared" ref="K82:K90" si="55">H82*I82-J82</f>
        <v>1.489126623606627</v>
      </c>
      <c r="L82" s="128">
        <f t="shared" ref="L82:L90" si="56">D82*G82+2/3*G82*(D82-1)+0.9</f>
        <v>1.96</v>
      </c>
      <c r="M82" s="54"/>
      <c r="N82" s="54"/>
      <c r="O82" s="54"/>
      <c r="P82" s="54"/>
      <c r="Q82" s="54"/>
      <c r="R82" s="54"/>
    </row>
    <row r="83" spans="1:24" s="43" customFormat="1" ht="15">
      <c r="A83" s="187" t="str">
        <f t="shared" ref="A83:A90" si="57">D83&amp;E83</f>
        <v>11060</v>
      </c>
      <c r="B83" s="52" t="s">
        <v>7</v>
      </c>
      <c r="C83" s="48"/>
      <c r="D83" s="94">
        <v>1</v>
      </c>
      <c r="E83" s="49">
        <v>1060</v>
      </c>
      <c r="F83" s="49">
        <v>0.09</v>
      </c>
      <c r="G83" s="58">
        <f t="shared" ref="G83:G90" si="58">E83/1000+2*F83</f>
        <v>1.24</v>
      </c>
      <c r="H83" s="50">
        <f t="shared" ref="H83:H90" si="59">D83*G83+2*0.45+(D83-1)*2/3*G83</f>
        <v>2.14</v>
      </c>
      <c r="I83" s="57">
        <f t="shared" si="54"/>
        <v>1.39</v>
      </c>
      <c r="J83" s="50">
        <f t="shared" ref="J83:J90" si="60">D83*PI()*G83^2/4</f>
        <v>1.2076282160399165</v>
      </c>
      <c r="K83" s="188">
        <f t="shared" si="55"/>
        <v>1.7669717839600836</v>
      </c>
      <c r="L83" s="128">
        <f t="shared" si="56"/>
        <v>2.14</v>
      </c>
      <c r="M83" s="54"/>
      <c r="N83" s="54"/>
      <c r="O83" s="54"/>
      <c r="P83" s="54"/>
      <c r="Q83" s="54"/>
      <c r="R83" s="54"/>
    </row>
    <row r="84" spans="1:24" s="43" customFormat="1" ht="15">
      <c r="A84" s="187" t="str">
        <f>D84&amp;E84</f>
        <v>11220</v>
      </c>
      <c r="B84" s="52" t="s">
        <v>7</v>
      </c>
      <c r="C84" s="48"/>
      <c r="D84" s="94">
        <v>1</v>
      </c>
      <c r="E84" s="49">
        <v>1220</v>
      </c>
      <c r="F84" s="49">
        <v>0.1</v>
      </c>
      <c r="G84" s="58">
        <f t="shared" si="58"/>
        <v>1.42</v>
      </c>
      <c r="H84" s="50">
        <f t="shared" si="59"/>
        <v>2.3199999999999998</v>
      </c>
      <c r="I84" s="57">
        <f t="shared" si="54"/>
        <v>1.5699999999999998</v>
      </c>
      <c r="J84" s="50">
        <f>D84*PI()*G84^2/4</f>
        <v>1.5836768566746147</v>
      </c>
      <c r="K84" s="188">
        <f t="shared" si="55"/>
        <v>2.058723143325385</v>
      </c>
      <c r="L84" s="128">
        <f t="shared" si="56"/>
        <v>2.3199999999999998</v>
      </c>
      <c r="M84" s="54"/>
      <c r="N84" s="54"/>
      <c r="O84" s="54"/>
      <c r="P84" s="54"/>
      <c r="Q84" s="54"/>
      <c r="R84" s="54"/>
    </row>
    <row r="85" spans="1:24" s="43" customFormat="1" ht="15">
      <c r="A85" s="187" t="str">
        <f t="shared" si="57"/>
        <v>2910</v>
      </c>
      <c r="B85" s="52" t="s">
        <v>7</v>
      </c>
      <c r="C85" s="48" t="s">
        <v>52</v>
      </c>
      <c r="D85" s="94">
        <v>2</v>
      </c>
      <c r="E85" s="49">
        <v>910</v>
      </c>
      <c r="F85" s="49">
        <f>80/1000</f>
        <v>0.08</v>
      </c>
      <c r="G85" s="58">
        <f t="shared" si="58"/>
        <v>1.07</v>
      </c>
      <c r="H85" s="50">
        <f t="shared" si="59"/>
        <v>3.7533333333333334</v>
      </c>
      <c r="I85" s="57">
        <f t="shared" si="54"/>
        <v>1.22</v>
      </c>
      <c r="J85" s="50">
        <f t="shared" si="60"/>
        <v>1.7984047145474771</v>
      </c>
      <c r="K85" s="188">
        <f t="shared" si="55"/>
        <v>2.78066195211919</v>
      </c>
      <c r="L85" s="128">
        <f t="shared" si="56"/>
        <v>3.7533333333333334</v>
      </c>
      <c r="M85" s="54"/>
      <c r="N85" s="54"/>
      <c r="O85" s="54"/>
      <c r="P85" s="54"/>
      <c r="Q85" s="54"/>
      <c r="R85" s="54"/>
    </row>
    <row r="86" spans="1:24" s="43" customFormat="1" ht="15">
      <c r="A86" s="187" t="str">
        <f t="shared" si="57"/>
        <v>21060</v>
      </c>
      <c r="B86" s="52" t="s">
        <v>7</v>
      </c>
      <c r="C86" s="48"/>
      <c r="D86" s="94">
        <v>2</v>
      </c>
      <c r="E86" s="49">
        <v>1060</v>
      </c>
      <c r="F86" s="49">
        <v>0.09</v>
      </c>
      <c r="G86" s="58">
        <f t="shared" si="58"/>
        <v>1.24</v>
      </c>
      <c r="H86" s="50">
        <f t="shared" si="59"/>
        <v>4.206666666666667</v>
      </c>
      <c r="I86" s="57">
        <f t="shared" si="54"/>
        <v>1.39</v>
      </c>
      <c r="J86" s="50">
        <f t="shared" si="60"/>
        <v>2.4152564320798331</v>
      </c>
      <c r="K86" s="188">
        <f t="shared" si="55"/>
        <v>3.432010234586834</v>
      </c>
      <c r="L86" s="128">
        <f t="shared" si="56"/>
        <v>4.206666666666667</v>
      </c>
      <c r="M86" s="54"/>
      <c r="N86" s="54"/>
      <c r="O86" s="54"/>
      <c r="P86" s="54"/>
      <c r="Q86" s="54"/>
      <c r="R86" s="54"/>
    </row>
    <row r="87" spans="1:24" s="43" customFormat="1" ht="15">
      <c r="A87" s="187" t="str">
        <f t="shared" si="57"/>
        <v>21220</v>
      </c>
      <c r="B87" s="52" t="s">
        <v>7</v>
      </c>
      <c r="C87" s="48"/>
      <c r="D87" s="94">
        <v>2</v>
      </c>
      <c r="E87" s="49">
        <v>1220</v>
      </c>
      <c r="F87" s="49">
        <v>0.1</v>
      </c>
      <c r="G87" s="58">
        <f t="shared" si="58"/>
        <v>1.42</v>
      </c>
      <c r="H87" s="50">
        <f t="shared" si="59"/>
        <v>4.6866666666666665</v>
      </c>
      <c r="I87" s="57">
        <f t="shared" si="54"/>
        <v>1.5699999999999998</v>
      </c>
      <c r="J87" s="50">
        <f t="shared" si="60"/>
        <v>3.1673537133492293</v>
      </c>
      <c r="K87" s="188">
        <f t="shared" si="55"/>
        <v>4.190712953317437</v>
      </c>
      <c r="L87" s="128">
        <f t="shared" si="56"/>
        <v>4.6866666666666665</v>
      </c>
      <c r="M87" s="54"/>
      <c r="N87" s="54"/>
      <c r="O87" s="54"/>
      <c r="P87" s="54"/>
      <c r="Q87" s="54"/>
      <c r="R87" s="54"/>
    </row>
    <row r="88" spans="1:24" s="43" customFormat="1" ht="15">
      <c r="A88" s="187" t="str">
        <f t="shared" si="57"/>
        <v>3910</v>
      </c>
      <c r="B88" s="52" t="s">
        <v>7</v>
      </c>
      <c r="C88" s="48" t="s">
        <v>53</v>
      </c>
      <c r="D88" s="94">
        <v>3</v>
      </c>
      <c r="E88" s="49">
        <v>910</v>
      </c>
      <c r="F88" s="49">
        <f>80/1000</f>
        <v>0.08</v>
      </c>
      <c r="G88" s="58">
        <f t="shared" si="58"/>
        <v>1.07</v>
      </c>
      <c r="H88" s="50">
        <f t="shared" si="59"/>
        <v>5.5366666666666671</v>
      </c>
      <c r="I88" s="57">
        <f t="shared" si="54"/>
        <v>1.22</v>
      </c>
      <c r="J88" s="50">
        <f t="shared" si="60"/>
        <v>2.6976070718212157</v>
      </c>
      <c r="K88" s="188">
        <f t="shared" si="55"/>
        <v>4.0571262615121171</v>
      </c>
      <c r="L88" s="128">
        <f t="shared" si="56"/>
        <v>5.5366666666666671</v>
      </c>
      <c r="M88" s="54"/>
      <c r="N88" s="54"/>
      <c r="O88" s="54"/>
      <c r="P88" s="54"/>
      <c r="Q88" s="54"/>
      <c r="R88" s="54"/>
    </row>
    <row r="89" spans="1:24" s="43" customFormat="1" ht="15">
      <c r="A89" s="187" t="str">
        <f t="shared" si="57"/>
        <v>31060</v>
      </c>
      <c r="B89" s="52" t="s">
        <v>7</v>
      </c>
      <c r="C89" s="48"/>
      <c r="D89" s="94">
        <v>3</v>
      </c>
      <c r="E89" s="49">
        <v>1060</v>
      </c>
      <c r="F89" s="49">
        <v>0.09</v>
      </c>
      <c r="G89" s="58">
        <f t="shared" si="58"/>
        <v>1.24</v>
      </c>
      <c r="H89" s="50">
        <f t="shared" si="59"/>
        <v>6.2733333333333334</v>
      </c>
      <c r="I89" s="57">
        <f t="shared" si="54"/>
        <v>1.39</v>
      </c>
      <c r="J89" s="50">
        <f t="shared" si="60"/>
        <v>3.6228846481197494</v>
      </c>
      <c r="K89" s="188">
        <f t="shared" si="55"/>
        <v>5.0970486852135846</v>
      </c>
      <c r="L89" s="128">
        <f t="shared" si="56"/>
        <v>6.2733333333333334</v>
      </c>
      <c r="M89" s="54"/>
      <c r="N89" s="54"/>
      <c r="O89" s="54"/>
      <c r="P89" s="54"/>
      <c r="Q89" s="54"/>
      <c r="R89" s="54"/>
    </row>
    <row r="90" spans="1:24" s="43" customFormat="1" ht="15">
      <c r="A90" s="189" t="str">
        <f t="shared" si="57"/>
        <v>31220</v>
      </c>
      <c r="B90" s="190" t="s">
        <v>7</v>
      </c>
      <c r="C90" s="191"/>
      <c r="D90" s="192">
        <v>3</v>
      </c>
      <c r="E90" s="193">
        <v>1220</v>
      </c>
      <c r="F90" s="193">
        <v>0.1</v>
      </c>
      <c r="G90" s="194">
        <f t="shared" si="58"/>
        <v>1.42</v>
      </c>
      <c r="H90" s="195">
        <f t="shared" si="59"/>
        <v>7.0533333333333328</v>
      </c>
      <c r="I90" s="196">
        <f t="shared" si="54"/>
        <v>1.5699999999999998</v>
      </c>
      <c r="J90" s="195">
        <f t="shared" si="60"/>
        <v>4.7510305700238442</v>
      </c>
      <c r="K90" s="197">
        <f t="shared" si="55"/>
        <v>6.3227027633094872</v>
      </c>
      <c r="L90" s="128">
        <f t="shared" si="56"/>
        <v>7.0533333333333328</v>
      </c>
      <c r="M90" s="54"/>
      <c r="N90" s="54"/>
      <c r="O90" s="54"/>
      <c r="P90" s="54"/>
      <c r="Q90" s="54"/>
      <c r="R90" s="54"/>
    </row>
    <row r="93" spans="1:24">
      <c r="A93" s="546" t="s">
        <v>150</v>
      </c>
      <c r="B93" s="546"/>
      <c r="C93" s="546"/>
      <c r="D93" s="546"/>
      <c r="E93" s="546"/>
      <c r="F93" s="546"/>
      <c r="G93" s="546"/>
      <c r="H93" s="546"/>
      <c r="I93" s="546"/>
      <c r="J93" s="546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</row>
    <row r="94" spans="1:24">
      <c r="A94" s="546"/>
      <c r="B94" s="546"/>
      <c r="C94" s="546"/>
      <c r="D94" s="546"/>
      <c r="E94" s="546"/>
      <c r="F94" s="546"/>
      <c r="G94" s="546"/>
      <c r="H94" s="546"/>
      <c r="I94" s="546"/>
      <c r="J94" s="546"/>
      <c r="K94" s="546"/>
      <c r="L94" s="546"/>
      <c r="M94" s="546"/>
      <c r="N94" s="546"/>
      <c r="O94" s="546"/>
      <c r="P94" s="546"/>
      <c r="Q94" s="546"/>
      <c r="R94" s="546"/>
      <c r="S94" s="546"/>
      <c r="T94" s="546"/>
      <c r="U94" s="546"/>
      <c r="V94" s="546"/>
      <c r="W94" s="546"/>
      <c r="X94" s="546"/>
    </row>
  </sheetData>
  <mergeCells count="6">
    <mergeCell ref="A93:X94"/>
    <mergeCell ref="A1:X1"/>
    <mergeCell ref="A2:M2"/>
    <mergeCell ref="Q2:R2"/>
    <mergeCell ref="S2:V2"/>
    <mergeCell ref="W2:X2"/>
  </mergeCells>
  <conditionalFormatting sqref="K82:K90">
    <cfRule type="cellIs" dxfId="1" priority="2" operator="greaterThan">
      <formula>10</formula>
    </cfRule>
  </conditionalFormatting>
  <conditionalFormatting sqref="D81:J81">
    <cfRule type="cellIs" dxfId="0" priority="1" operator="greaterThan">
      <formula>1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GX37"/>
  <sheetViews>
    <sheetView zoomScale="85" zoomScaleNormal="85" workbookViewId="0">
      <pane ySplit="5610" topLeftCell="A22"/>
      <selection activeCell="A8" sqref="A8"/>
      <selection pane="bottomLeft" activeCell="E24" sqref="E24"/>
    </sheetView>
  </sheetViews>
  <sheetFormatPr defaultRowHeight="12.75"/>
  <cols>
    <col min="1" max="1" width="10.28515625" customWidth="1"/>
    <col min="13" max="14" width="7.140625" customWidth="1"/>
    <col min="62" max="62" width="4.7109375" customWidth="1"/>
    <col min="63" max="63" width="12.28515625" customWidth="1"/>
    <col min="64" max="64" width="10" customWidth="1"/>
    <col min="66" max="66" width="10.28515625" customWidth="1"/>
    <col min="68" max="68" width="14.7109375" customWidth="1"/>
    <col min="69" max="69" width="9.28515625" customWidth="1"/>
    <col min="136" max="136" width="10.140625" customWidth="1"/>
    <col min="137" max="137" width="10.28515625" customWidth="1"/>
    <col min="138" max="138" width="12.140625" customWidth="1"/>
    <col min="139" max="139" width="9.7109375" customWidth="1"/>
    <col min="140" max="140" width="11.5703125" customWidth="1"/>
    <col min="142" max="142" width="10.85546875" customWidth="1"/>
    <col min="152" max="152" width="8.85546875" customWidth="1"/>
    <col min="154" max="154" width="10.42578125" customWidth="1"/>
    <col min="156" max="156" width="10.7109375" customWidth="1"/>
    <col min="158" max="158" width="9.7109375" customWidth="1"/>
    <col min="162" max="168" width="10" customWidth="1"/>
    <col min="190" max="190" width="10.7109375" customWidth="1"/>
    <col min="191" max="191" width="10.28515625" customWidth="1"/>
    <col min="193" max="193" width="11" customWidth="1"/>
    <col min="195" max="195" width="10.7109375" customWidth="1"/>
    <col min="203" max="203" width="11.28515625" customWidth="1"/>
  </cols>
  <sheetData>
    <row r="1" spans="1:206" ht="17.25" thickTop="1" thickBot="1">
      <c r="A1" s="573" t="s">
        <v>178</v>
      </c>
      <c r="B1" s="574"/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  <c r="P1" s="574"/>
      <c r="Q1" s="574"/>
      <c r="R1" s="574"/>
      <c r="S1" s="574"/>
      <c r="T1" s="574"/>
      <c r="U1" s="574"/>
      <c r="V1" s="574"/>
      <c r="W1" s="574"/>
      <c r="X1" s="574"/>
      <c r="Y1" s="574"/>
      <c r="Z1" s="574"/>
      <c r="AA1" s="574"/>
      <c r="AB1" s="574"/>
      <c r="AC1" s="574"/>
      <c r="AD1" s="574"/>
      <c r="AE1" s="574"/>
      <c r="AF1" s="574"/>
      <c r="AG1" s="574"/>
      <c r="AH1" s="574"/>
      <c r="AI1" s="574"/>
      <c r="AJ1" s="574"/>
      <c r="AK1" s="574"/>
      <c r="AL1" s="574"/>
      <c r="AM1" s="574"/>
      <c r="AN1" s="574"/>
      <c r="AO1" s="574"/>
      <c r="AP1" s="574"/>
      <c r="AQ1" s="574"/>
      <c r="AR1" s="574"/>
      <c r="AS1" s="574"/>
      <c r="AT1" s="574"/>
      <c r="AU1" s="574"/>
      <c r="AV1" s="574"/>
      <c r="AW1" s="574"/>
      <c r="AX1" s="574"/>
      <c r="AY1" s="574"/>
      <c r="AZ1" s="574"/>
      <c r="BA1" s="574"/>
      <c r="BB1" s="574"/>
      <c r="BC1" s="574"/>
      <c r="BD1" s="574"/>
      <c r="BE1" s="574"/>
      <c r="BF1" s="574"/>
      <c r="BG1" s="574"/>
      <c r="BH1" s="574"/>
      <c r="BI1" s="575"/>
      <c r="BJ1" s="355"/>
      <c r="BK1" s="424" t="s">
        <v>269</v>
      </c>
      <c r="BL1" s="423"/>
      <c r="BM1" s="423"/>
      <c r="BN1" s="423"/>
      <c r="BO1" s="423"/>
      <c r="BP1" s="423"/>
      <c r="BQ1" s="423"/>
      <c r="BR1" s="423"/>
      <c r="BS1" s="423"/>
      <c r="BT1" s="423"/>
      <c r="BU1" s="423"/>
      <c r="BV1" s="423"/>
      <c r="BW1" s="423"/>
      <c r="BX1" s="423"/>
      <c r="BY1" s="423"/>
      <c r="BZ1" s="423"/>
      <c r="CA1" s="423"/>
      <c r="CB1" s="423"/>
      <c r="CC1" s="423"/>
      <c r="CD1" s="423"/>
      <c r="CE1" s="423"/>
      <c r="CF1" s="423"/>
      <c r="CG1" s="423"/>
      <c r="CH1" s="423"/>
      <c r="CI1" s="423"/>
      <c r="CJ1" s="423"/>
      <c r="CK1" s="423"/>
      <c r="CL1" s="423"/>
      <c r="CM1" s="423"/>
      <c r="CN1" s="423"/>
      <c r="CO1" s="423"/>
      <c r="CP1" s="423"/>
      <c r="CQ1" s="423"/>
      <c r="CR1" s="423"/>
      <c r="CS1" s="423"/>
      <c r="CT1" s="423"/>
      <c r="CU1" s="423"/>
      <c r="CV1" s="423"/>
      <c r="CW1" s="423"/>
      <c r="CX1" s="423"/>
      <c r="CY1" s="423"/>
      <c r="CZ1" s="423"/>
      <c r="DA1" s="423"/>
      <c r="DB1" s="423"/>
      <c r="DC1" s="423"/>
      <c r="DD1" s="423"/>
      <c r="DE1" s="423"/>
      <c r="DF1" s="423"/>
      <c r="DG1" s="423"/>
      <c r="DH1" s="423"/>
      <c r="DI1" s="423"/>
      <c r="DJ1" s="423"/>
      <c r="DK1" s="423"/>
      <c r="DL1" s="423"/>
      <c r="DM1" s="423"/>
      <c r="DN1" s="423"/>
      <c r="DO1" s="356"/>
      <c r="DP1" s="356"/>
      <c r="DQ1" s="356"/>
      <c r="DR1" s="356"/>
      <c r="DS1" s="356"/>
      <c r="DT1" s="356"/>
      <c r="DU1" s="356"/>
      <c r="DV1" s="356"/>
      <c r="DW1" s="356"/>
      <c r="DX1" s="356"/>
      <c r="DY1" s="356"/>
      <c r="DZ1" s="356"/>
      <c r="EA1" s="356"/>
      <c r="EB1" s="356"/>
      <c r="EC1" s="356"/>
      <c r="ED1" s="356"/>
      <c r="EE1" s="356"/>
      <c r="EF1" s="356"/>
      <c r="EG1" s="356"/>
      <c r="EH1" s="356"/>
      <c r="EI1" s="356"/>
      <c r="EJ1" s="356"/>
      <c r="EK1" s="356"/>
      <c r="EL1" s="356"/>
      <c r="EM1" s="356"/>
      <c r="EN1" s="357">
        <v>8.2328383000000005E-2</v>
      </c>
      <c r="EO1" s="358">
        <v>7.6273379000000002E-2</v>
      </c>
      <c r="EP1" s="358">
        <v>7.6273379000000002E-2</v>
      </c>
      <c r="EQ1" s="359" t="s">
        <v>317</v>
      </c>
      <c r="ER1" s="360"/>
      <c r="ES1" s="360"/>
      <c r="ET1" s="361"/>
      <c r="EU1" s="361"/>
      <c r="EV1" s="361"/>
      <c r="EW1" s="362"/>
      <c r="EX1" s="360"/>
      <c r="EY1" s="360"/>
      <c r="EZ1" s="360"/>
      <c r="FA1" s="360"/>
      <c r="FB1" s="360"/>
      <c r="FC1" s="360"/>
      <c r="FD1" s="556" t="s">
        <v>318</v>
      </c>
      <c r="FE1" s="556"/>
      <c r="FF1" s="363" t="s">
        <v>319</v>
      </c>
      <c r="FG1" s="363" t="s">
        <v>320</v>
      </c>
      <c r="FH1" s="363" t="s">
        <v>321</v>
      </c>
      <c r="FI1" s="363" t="s">
        <v>322</v>
      </c>
      <c r="FJ1" s="363" t="s">
        <v>323</v>
      </c>
      <c r="FK1" s="363" t="s">
        <v>324</v>
      </c>
      <c r="FL1" s="363" t="s">
        <v>325</v>
      </c>
      <c r="FM1" s="356"/>
      <c r="FN1" s="423"/>
      <c r="FO1" s="423"/>
      <c r="FP1" s="423"/>
      <c r="FQ1" s="423"/>
      <c r="FR1" s="423"/>
      <c r="FS1" s="423"/>
      <c r="FT1" s="423"/>
      <c r="FU1" s="423"/>
      <c r="FV1" s="423"/>
      <c r="FW1" s="423"/>
      <c r="FX1" s="423"/>
      <c r="FY1" s="423"/>
      <c r="FZ1" s="423"/>
      <c r="GA1" s="423"/>
      <c r="GB1" s="423"/>
      <c r="GC1" s="423"/>
      <c r="GD1" s="423"/>
      <c r="GE1" s="423"/>
      <c r="GF1" s="361"/>
      <c r="GG1" s="361"/>
      <c r="GH1" s="362"/>
      <c r="GI1" s="360"/>
      <c r="GJ1" s="360"/>
      <c r="GK1" s="360"/>
      <c r="GL1" s="360"/>
      <c r="GM1" s="360"/>
      <c r="GN1" s="360"/>
      <c r="GO1" s="556" t="s">
        <v>318</v>
      </c>
      <c r="GP1" s="556"/>
      <c r="GQ1" s="363" t="s">
        <v>319</v>
      </c>
      <c r="GR1" s="363" t="s">
        <v>320</v>
      </c>
      <c r="GS1" s="363" t="s">
        <v>321</v>
      </c>
      <c r="GT1" s="363" t="s">
        <v>322</v>
      </c>
      <c r="GU1" s="363" t="s">
        <v>323</v>
      </c>
      <c r="GV1" s="363" t="s">
        <v>324</v>
      </c>
      <c r="GW1" s="363" t="s">
        <v>325</v>
      </c>
      <c r="GX1" s="429"/>
    </row>
    <row r="2" spans="1:206" ht="16.5" thickBot="1">
      <c r="A2" s="576" t="s">
        <v>179</v>
      </c>
      <c r="B2" s="579" t="s">
        <v>180</v>
      </c>
      <c r="C2" s="582" t="s">
        <v>181</v>
      </c>
      <c r="D2" s="585" t="s">
        <v>182</v>
      </c>
      <c r="E2" s="582" t="s">
        <v>31</v>
      </c>
      <c r="F2" s="585" t="s">
        <v>183</v>
      </c>
      <c r="G2" s="588" t="s">
        <v>184</v>
      </c>
      <c r="H2" s="589"/>
      <c r="I2" s="589"/>
      <c r="J2" s="589"/>
      <c r="K2" s="589"/>
      <c r="L2" s="589"/>
      <c r="M2" s="589"/>
      <c r="N2" s="590"/>
      <c r="O2" s="588" t="s">
        <v>185</v>
      </c>
      <c r="P2" s="589"/>
      <c r="Q2" s="589"/>
      <c r="R2" s="589"/>
      <c r="S2" s="589"/>
      <c r="T2" s="589"/>
      <c r="U2" s="590"/>
      <c r="V2" s="594" t="s">
        <v>186</v>
      </c>
      <c r="W2" s="595"/>
      <c r="X2" s="595"/>
      <c r="Y2" s="595"/>
      <c r="Z2" s="595"/>
      <c r="AA2" s="595"/>
      <c r="AB2" s="595"/>
      <c r="AC2" s="595"/>
      <c r="AD2" s="596"/>
      <c r="AE2" s="611" t="s">
        <v>187</v>
      </c>
      <c r="AF2" s="612"/>
      <c r="AG2" s="612"/>
      <c r="AH2" s="612"/>
      <c r="AI2" s="612"/>
      <c r="AJ2" s="612"/>
      <c r="AK2" s="612"/>
      <c r="AL2" s="612"/>
      <c r="AM2" s="612"/>
      <c r="AN2" s="612"/>
      <c r="AO2" s="612"/>
      <c r="AP2" s="612"/>
      <c r="AQ2" s="612"/>
      <c r="AR2" s="612"/>
      <c r="AS2" s="612"/>
      <c r="AT2" s="612"/>
      <c r="AU2" s="612"/>
      <c r="AV2" s="612"/>
      <c r="AW2" s="612"/>
      <c r="AX2" s="612"/>
      <c r="AY2" s="612"/>
      <c r="AZ2" s="612"/>
      <c r="BA2" s="612"/>
      <c r="BB2" s="612"/>
      <c r="BC2" s="612"/>
      <c r="BD2" s="612"/>
      <c r="BE2" s="612"/>
      <c r="BF2" s="612"/>
      <c r="BG2" s="612"/>
      <c r="BH2" s="612"/>
      <c r="BI2" s="613"/>
      <c r="BJ2" s="355"/>
      <c r="BK2" s="425"/>
      <c r="BL2" s="302"/>
      <c r="BM2" s="302"/>
      <c r="BN2" s="302"/>
      <c r="BO2" s="302"/>
      <c r="BP2" s="302"/>
      <c r="BQ2" s="302"/>
      <c r="BR2" s="302"/>
      <c r="BS2" s="302"/>
      <c r="BT2" s="302"/>
      <c r="BU2" s="302"/>
      <c r="BV2" s="302"/>
      <c r="BW2" s="302"/>
      <c r="BX2" s="302"/>
      <c r="BY2" s="302"/>
      <c r="BZ2" s="302"/>
      <c r="CA2" s="302"/>
      <c r="CB2" s="302"/>
      <c r="CC2" s="302"/>
      <c r="CD2" s="302"/>
      <c r="CE2" s="302"/>
      <c r="CF2" s="302"/>
      <c r="CG2" s="302"/>
      <c r="CH2" s="302"/>
      <c r="CI2" s="302"/>
      <c r="CJ2" s="302"/>
      <c r="CK2" s="302"/>
      <c r="CL2" s="302"/>
      <c r="CM2" s="302"/>
      <c r="CN2" s="302"/>
      <c r="CO2" s="302"/>
      <c r="CP2" s="302"/>
      <c r="CQ2" s="302"/>
      <c r="CR2" s="302"/>
      <c r="CS2" s="302"/>
      <c r="CT2" s="302"/>
      <c r="CU2" s="302"/>
      <c r="CV2" s="302"/>
      <c r="CW2" s="562" t="s">
        <v>270</v>
      </c>
      <c r="CX2" s="563"/>
      <c r="CY2" s="563"/>
      <c r="CZ2" s="563"/>
      <c r="DA2" s="564"/>
      <c r="DB2" s="303" t="s">
        <v>271</v>
      </c>
      <c r="DC2" s="304"/>
      <c r="DD2" s="565" t="s">
        <v>272</v>
      </c>
      <c r="DE2" s="565"/>
      <c r="DF2" s="565"/>
      <c r="DG2" s="565" t="s">
        <v>273</v>
      </c>
      <c r="DH2" s="565"/>
      <c r="DI2" s="565"/>
      <c r="DJ2" s="566" t="s">
        <v>274</v>
      </c>
      <c r="DK2" s="567"/>
      <c r="DL2" s="567"/>
      <c r="DM2" s="567"/>
      <c r="DN2" s="568"/>
      <c r="DO2" s="631" t="s">
        <v>326</v>
      </c>
      <c r="DP2" s="631"/>
      <c r="DQ2" s="631"/>
      <c r="DR2" s="631"/>
      <c r="DS2" s="631"/>
      <c r="DT2" s="631"/>
      <c r="DU2" s="631"/>
      <c r="DV2" s="631"/>
      <c r="DW2" s="631"/>
      <c r="DX2" s="631"/>
      <c r="DY2" s="631"/>
      <c r="DZ2" s="631"/>
      <c r="EA2" s="631"/>
      <c r="EB2" s="631"/>
      <c r="EC2" s="631"/>
      <c r="ED2" s="631"/>
      <c r="EE2" s="631"/>
      <c r="EF2" s="631"/>
      <c r="EG2" s="631"/>
      <c r="EH2" s="631"/>
      <c r="EI2" s="631"/>
      <c r="EJ2" s="631"/>
      <c r="EK2" s="631"/>
      <c r="EL2" s="631"/>
      <c r="EM2" s="631"/>
      <c r="EN2" s="364">
        <f>EN6/1000+0.45*2+EN4*2</f>
        <v>2.3200000000000003</v>
      </c>
      <c r="EO2" s="365">
        <f>EO6/1000+0.45*2+EO4*2</f>
        <v>2.14</v>
      </c>
      <c r="EP2" s="365">
        <f>EP6/1000+0.45*2+EP4*2</f>
        <v>1.96</v>
      </c>
      <c r="EQ2" s="365" t="s">
        <v>327</v>
      </c>
      <c r="ER2" s="366" t="s">
        <v>328</v>
      </c>
      <c r="ES2" s="367"/>
      <c r="ET2" s="368"/>
      <c r="EU2" s="356" t="s">
        <v>66</v>
      </c>
      <c r="EV2" s="356" t="s">
        <v>66</v>
      </c>
      <c r="EW2" s="356" t="s">
        <v>66</v>
      </c>
      <c r="EX2" s="356" t="s">
        <v>66</v>
      </c>
      <c r="EY2" s="356" t="s">
        <v>66</v>
      </c>
      <c r="EZ2" s="356" t="s">
        <v>66</v>
      </c>
      <c r="FA2" s="356" t="s">
        <v>66</v>
      </c>
      <c r="FB2" s="356" t="s">
        <v>66</v>
      </c>
      <c r="FC2" s="356" t="s">
        <v>66</v>
      </c>
      <c r="FD2" s="556"/>
      <c r="FE2" s="556"/>
      <c r="FF2" s="304">
        <f>[1]SLB_CU!$D$17</f>
        <v>3.15</v>
      </c>
      <c r="FG2" s="304">
        <f>[1]SLB_CU!$E$17</f>
        <v>3.15</v>
      </c>
      <c r="FH2" s="304">
        <v>2.5</v>
      </c>
      <c r="FI2" s="304">
        <f>[1]SLB_CU!$F$17</f>
        <v>1.5</v>
      </c>
      <c r="FJ2" s="304">
        <f>[1]SLB_CU!$D$15</f>
        <v>0.3</v>
      </c>
      <c r="FK2" s="304">
        <f>[1]SLB_CU!$G$16</f>
        <v>0.2</v>
      </c>
      <c r="FL2" s="304">
        <f>[1]SLB_CU!$D$12</f>
        <v>0.20499999999999999</v>
      </c>
      <c r="FM2" s="329"/>
      <c r="FN2" s="562" t="s">
        <v>373</v>
      </c>
      <c r="FO2" s="563"/>
      <c r="FP2" s="563"/>
      <c r="FQ2" s="563"/>
      <c r="FR2" s="564"/>
      <c r="FS2" s="303" t="s">
        <v>271</v>
      </c>
      <c r="FT2" s="305"/>
      <c r="FU2" s="565" t="s">
        <v>374</v>
      </c>
      <c r="FV2" s="565"/>
      <c r="FW2" s="565"/>
      <c r="FX2" s="565" t="s">
        <v>375</v>
      </c>
      <c r="FY2" s="565"/>
      <c r="FZ2" s="565"/>
      <c r="GA2" s="566" t="s">
        <v>376</v>
      </c>
      <c r="GB2" s="567"/>
      <c r="GC2" s="567"/>
      <c r="GD2" s="567"/>
      <c r="GE2" s="568"/>
      <c r="GF2" s="356" t="s">
        <v>67</v>
      </c>
      <c r="GG2" s="356" t="s">
        <v>67</v>
      </c>
      <c r="GH2" s="356" t="s">
        <v>67</v>
      </c>
      <c r="GI2" s="356" t="s">
        <v>67</v>
      </c>
      <c r="GJ2" s="356" t="s">
        <v>67</v>
      </c>
      <c r="GK2" s="356" t="s">
        <v>67</v>
      </c>
      <c r="GL2" s="356" t="s">
        <v>67</v>
      </c>
      <c r="GM2" s="356" t="s">
        <v>67</v>
      </c>
      <c r="GN2" s="356" t="s">
        <v>67</v>
      </c>
      <c r="GO2" s="556"/>
      <c r="GP2" s="556"/>
      <c r="GQ2" s="305">
        <f>[1]SLB_CU!$D$17</f>
        <v>3.15</v>
      </c>
      <c r="GR2" s="305">
        <f>[1]SLB_CU!$E$17</f>
        <v>3.15</v>
      </c>
      <c r="GS2" s="305">
        <v>2.5</v>
      </c>
      <c r="GT2" s="305">
        <f>[1]SLB_CU!$F$17</f>
        <v>1.5</v>
      </c>
      <c r="GU2" s="305">
        <f>[1]SLB_CU!$D$15</f>
        <v>0.3</v>
      </c>
      <c r="GV2" s="305">
        <f>[1]SLB_CU!$G$16</f>
        <v>0.2</v>
      </c>
      <c r="GW2" s="305">
        <f>[1]SLB_CU!$D$12</f>
        <v>0.20499999999999999</v>
      </c>
      <c r="GX2" s="430"/>
    </row>
    <row r="3" spans="1:206" ht="15.75" thickBot="1">
      <c r="A3" s="577"/>
      <c r="B3" s="580"/>
      <c r="C3" s="583"/>
      <c r="D3" s="586"/>
      <c r="E3" s="583"/>
      <c r="F3" s="586"/>
      <c r="G3" s="591"/>
      <c r="H3" s="592"/>
      <c r="I3" s="592"/>
      <c r="J3" s="592"/>
      <c r="K3" s="592"/>
      <c r="L3" s="592"/>
      <c r="M3" s="592"/>
      <c r="N3" s="593"/>
      <c r="O3" s="591"/>
      <c r="P3" s="592"/>
      <c r="Q3" s="592"/>
      <c r="R3" s="592"/>
      <c r="S3" s="592"/>
      <c r="T3" s="592"/>
      <c r="U3" s="593"/>
      <c r="V3" s="602" t="s">
        <v>188</v>
      </c>
      <c r="W3" s="603"/>
      <c r="X3" s="598" t="s">
        <v>189</v>
      </c>
      <c r="Y3" s="603"/>
      <c r="Z3" s="598" t="s">
        <v>190</v>
      </c>
      <c r="AA3" s="606"/>
      <c r="AB3" s="603"/>
      <c r="AC3" s="569" t="s">
        <v>191</v>
      </c>
      <c r="AD3" s="608" t="s">
        <v>192</v>
      </c>
      <c r="AE3" s="597" t="s">
        <v>193</v>
      </c>
      <c r="AF3" s="569" t="s">
        <v>194</v>
      </c>
      <c r="AG3" s="569" t="s">
        <v>195</v>
      </c>
      <c r="AH3" s="569" t="s">
        <v>196</v>
      </c>
      <c r="AI3" s="569" t="s">
        <v>68</v>
      </c>
      <c r="AJ3" s="616" t="s">
        <v>197</v>
      </c>
      <c r="AK3" s="617"/>
      <c r="AL3" s="617"/>
      <c r="AM3" s="617"/>
      <c r="AN3" s="618"/>
      <c r="AO3" s="616" t="s">
        <v>198</v>
      </c>
      <c r="AP3" s="617"/>
      <c r="AQ3" s="617"/>
      <c r="AR3" s="617"/>
      <c r="AS3" s="617"/>
      <c r="AT3" s="618"/>
      <c r="AU3" s="251"/>
      <c r="AV3" s="620" t="s">
        <v>199</v>
      </c>
      <c r="AW3" s="620" t="s">
        <v>200</v>
      </c>
      <c r="AX3" s="569" t="s">
        <v>201</v>
      </c>
      <c r="AY3" s="569" t="s">
        <v>202</v>
      </c>
      <c r="AZ3" s="569" t="s">
        <v>203</v>
      </c>
      <c r="BA3" s="569" t="s">
        <v>204</v>
      </c>
      <c r="BB3" s="569" t="s">
        <v>205</v>
      </c>
      <c r="BC3" s="569" t="s">
        <v>206</v>
      </c>
      <c r="BD3" s="252"/>
      <c r="BE3" s="569" t="s">
        <v>207</v>
      </c>
      <c r="BF3" s="569" t="s">
        <v>208</v>
      </c>
      <c r="BG3" s="252"/>
      <c r="BH3" s="569" t="s">
        <v>209</v>
      </c>
      <c r="BI3" s="608" t="s">
        <v>210</v>
      </c>
      <c r="BJ3" s="355"/>
      <c r="BK3" s="610" t="s">
        <v>275</v>
      </c>
      <c r="BL3" s="610"/>
      <c r="BM3" s="610"/>
      <c r="BN3" s="610"/>
      <c r="BO3" s="610"/>
      <c r="BP3" s="610"/>
      <c r="BQ3" s="610"/>
      <c r="BR3" s="610"/>
      <c r="BS3" s="610"/>
      <c r="BT3" s="610"/>
      <c r="BU3" s="610"/>
      <c r="BV3" s="610"/>
      <c r="BW3" s="610"/>
      <c r="BX3" s="610"/>
      <c r="BY3" s="610"/>
      <c r="BZ3" s="610"/>
      <c r="CA3" s="610"/>
      <c r="CB3" s="610"/>
      <c r="CC3" s="610"/>
      <c r="CD3" s="610"/>
      <c r="CE3" s="610"/>
      <c r="CF3" s="610"/>
      <c r="CG3" s="610"/>
      <c r="CH3" s="610"/>
      <c r="CI3" s="610"/>
      <c r="CJ3" s="610"/>
      <c r="CK3" s="610"/>
      <c r="CL3" s="569" t="s">
        <v>200</v>
      </c>
      <c r="CM3" s="569" t="s">
        <v>203</v>
      </c>
      <c r="CN3" s="569" t="s">
        <v>206</v>
      </c>
      <c r="CO3" s="306"/>
      <c r="CP3" s="306"/>
      <c r="CQ3" s="306"/>
      <c r="CR3" s="306"/>
      <c r="CS3" s="306"/>
      <c r="CT3" s="306"/>
      <c r="CU3" s="302"/>
      <c r="CV3" s="302"/>
      <c r="CW3" s="569" t="s">
        <v>276</v>
      </c>
      <c r="CX3" s="569" t="s">
        <v>200</v>
      </c>
      <c r="CY3" s="569" t="s">
        <v>277</v>
      </c>
      <c r="CZ3" s="569" t="s">
        <v>278</v>
      </c>
      <c r="DA3" s="569" t="s">
        <v>206</v>
      </c>
      <c r="DB3" s="572" t="s">
        <v>279</v>
      </c>
      <c r="DC3" s="572" t="s">
        <v>280</v>
      </c>
      <c r="DD3" s="569" t="s">
        <v>281</v>
      </c>
      <c r="DE3" s="569" t="s">
        <v>282</v>
      </c>
      <c r="DF3" s="569" t="s">
        <v>206</v>
      </c>
      <c r="DG3" s="569" t="s">
        <v>281</v>
      </c>
      <c r="DH3" s="569" t="s">
        <v>282</v>
      </c>
      <c r="DI3" s="569" t="s">
        <v>283</v>
      </c>
      <c r="DJ3" s="569" t="s">
        <v>200</v>
      </c>
      <c r="DK3" s="569" t="s">
        <v>284</v>
      </c>
      <c r="DL3" s="569" t="s">
        <v>285</v>
      </c>
      <c r="DM3" s="569" t="s">
        <v>286</v>
      </c>
      <c r="DN3" s="569" t="s">
        <v>287</v>
      </c>
      <c r="DO3" s="632"/>
      <c r="DP3" s="632"/>
      <c r="DQ3" s="634"/>
      <c r="DR3" s="636" t="s">
        <v>329</v>
      </c>
      <c r="DS3" s="637"/>
      <c r="DT3" s="640" t="s">
        <v>330</v>
      </c>
      <c r="DU3" s="641"/>
      <c r="DV3" s="644" t="s">
        <v>331</v>
      </c>
      <c r="DW3" s="645"/>
      <c r="DX3" s="645"/>
      <c r="DY3" s="645"/>
      <c r="DZ3" s="645"/>
      <c r="EA3" s="645"/>
      <c r="EB3" s="646"/>
      <c r="EC3" s="644" t="s">
        <v>332</v>
      </c>
      <c r="ED3" s="645"/>
      <c r="EE3" s="645"/>
      <c r="EF3" s="645"/>
      <c r="EG3" s="645"/>
      <c r="EH3" s="645"/>
      <c r="EI3" s="645"/>
      <c r="EJ3" s="645"/>
      <c r="EK3" s="645"/>
      <c r="EL3" s="647"/>
      <c r="EM3" s="646"/>
      <c r="EN3" s="369">
        <f>ROUND(0.15*(EN6/1000+EN4*2)+EN4,1)</f>
        <v>0.3</v>
      </c>
      <c r="EO3" s="366">
        <f>ROUND(0.15*(EO6/1000+EO4*2)+EO4,1)</f>
        <v>0.3</v>
      </c>
      <c r="EP3" s="365">
        <f>ROUND(0.15*(EP6/1000+EP4*2)+EP4,1)</f>
        <v>0.2</v>
      </c>
      <c r="EQ3" s="370" t="s">
        <v>333</v>
      </c>
      <c r="ER3" s="365" t="s">
        <v>334</v>
      </c>
      <c r="ES3" s="371"/>
      <c r="ET3" s="372"/>
      <c r="EU3" s="557" t="s">
        <v>335</v>
      </c>
      <c r="EV3" s="558"/>
      <c r="EW3" s="558"/>
      <c r="EX3" s="558"/>
      <c r="EY3" s="558"/>
      <c r="EZ3" s="558"/>
      <c r="FA3" s="558"/>
      <c r="FB3" s="558"/>
      <c r="FC3" s="559" t="s">
        <v>331</v>
      </c>
      <c r="FD3" s="559"/>
      <c r="FE3" s="559"/>
      <c r="FF3" s="559"/>
      <c r="FG3" s="559"/>
      <c r="FH3" s="559"/>
      <c r="FI3" s="559"/>
      <c r="FJ3" s="559"/>
      <c r="FK3" s="559"/>
      <c r="FL3" s="560"/>
      <c r="FM3" s="559"/>
      <c r="FN3" s="569" t="s">
        <v>276</v>
      </c>
      <c r="FO3" s="569" t="s">
        <v>200</v>
      </c>
      <c r="FP3" s="569" t="s">
        <v>277</v>
      </c>
      <c r="FQ3" s="569" t="s">
        <v>278</v>
      </c>
      <c r="FR3" s="569" t="s">
        <v>206</v>
      </c>
      <c r="FS3" s="572" t="s">
        <v>279</v>
      </c>
      <c r="FT3" s="572" t="s">
        <v>280</v>
      </c>
      <c r="FU3" s="569" t="s">
        <v>281</v>
      </c>
      <c r="FV3" s="569" t="s">
        <v>282</v>
      </c>
      <c r="FW3" s="569" t="s">
        <v>206</v>
      </c>
      <c r="FX3" s="569" t="s">
        <v>281</v>
      </c>
      <c r="FY3" s="569" t="s">
        <v>282</v>
      </c>
      <c r="FZ3" s="569" t="s">
        <v>283</v>
      </c>
      <c r="GA3" s="569" t="s">
        <v>200</v>
      </c>
      <c r="GB3" s="569" t="s">
        <v>284</v>
      </c>
      <c r="GC3" s="569" t="s">
        <v>285</v>
      </c>
      <c r="GD3" s="569" t="s">
        <v>286</v>
      </c>
      <c r="GE3" s="569" t="s">
        <v>287</v>
      </c>
      <c r="GF3" s="557" t="s">
        <v>335</v>
      </c>
      <c r="GG3" s="558"/>
      <c r="GH3" s="558"/>
      <c r="GI3" s="558"/>
      <c r="GJ3" s="558"/>
      <c r="GK3" s="558"/>
      <c r="GL3" s="558"/>
      <c r="GM3" s="558"/>
      <c r="GN3" s="559" t="s">
        <v>331</v>
      </c>
      <c r="GO3" s="559"/>
      <c r="GP3" s="559"/>
      <c r="GQ3" s="559"/>
      <c r="GR3" s="559"/>
      <c r="GS3" s="559"/>
      <c r="GT3" s="559"/>
      <c r="GU3" s="559"/>
      <c r="GV3" s="559"/>
      <c r="GW3" s="560"/>
      <c r="GX3" s="559"/>
    </row>
    <row r="4" spans="1:206" ht="44.25" customHeight="1" thickTop="1" thickBot="1">
      <c r="A4" s="577"/>
      <c r="B4" s="580"/>
      <c r="C4" s="583"/>
      <c r="D4" s="586"/>
      <c r="E4" s="583"/>
      <c r="F4" s="586"/>
      <c r="G4" s="597" t="s">
        <v>211</v>
      </c>
      <c r="H4" s="569" t="s">
        <v>212</v>
      </c>
      <c r="I4" s="569" t="s">
        <v>213</v>
      </c>
      <c r="J4" s="569" t="s">
        <v>214</v>
      </c>
      <c r="K4" s="569" t="s">
        <v>215</v>
      </c>
      <c r="L4" s="569" t="s">
        <v>216</v>
      </c>
      <c r="M4" s="598" t="s">
        <v>217</v>
      </c>
      <c r="N4" s="599"/>
      <c r="O4" s="597" t="s">
        <v>218</v>
      </c>
      <c r="P4" s="569" t="s">
        <v>212</v>
      </c>
      <c r="Q4" s="569" t="s">
        <v>219</v>
      </c>
      <c r="R4" s="569" t="s">
        <v>214</v>
      </c>
      <c r="S4" s="569" t="s">
        <v>215</v>
      </c>
      <c r="T4" s="598" t="s">
        <v>217</v>
      </c>
      <c r="U4" s="599"/>
      <c r="V4" s="604"/>
      <c r="W4" s="605"/>
      <c r="X4" s="600"/>
      <c r="Y4" s="605"/>
      <c r="Z4" s="600"/>
      <c r="AA4" s="607"/>
      <c r="AB4" s="605"/>
      <c r="AC4" s="570"/>
      <c r="AD4" s="586"/>
      <c r="AE4" s="583"/>
      <c r="AF4" s="570"/>
      <c r="AG4" s="570"/>
      <c r="AH4" s="570"/>
      <c r="AI4" s="570"/>
      <c r="AJ4" s="569" t="s">
        <v>220</v>
      </c>
      <c r="AK4" s="569" t="s">
        <v>221</v>
      </c>
      <c r="AL4" s="569" t="s">
        <v>222</v>
      </c>
      <c r="AM4" s="569" t="s">
        <v>223</v>
      </c>
      <c r="AN4" s="569" t="s">
        <v>224</v>
      </c>
      <c r="AO4" s="569" t="s">
        <v>225</v>
      </c>
      <c r="AP4" s="616" t="s">
        <v>226</v>
      </c>
      <c r="AQ4" s="617"/>
      <c r="AR4" s="617"/>
      <c r="AS4" s="617"/>
      <c r="AT4" s="618"/>
      <c r="AU4" s="253"/>
      <c r="AV4" s="621"/>
      <c r="AW4" s="621"/>
      <c r="AX4" s="570"/>
      <c r="AY4" s="570"/>
      <c r="AZ4" s="570"/>
      <c r="BA4" s="570"/>
      <c r="BB4" s="570"/>
      <c r="BC4" s="570"/>
      <c r="BD4" s="254"/>
      <c r="BE4" s="570"/>
      <c r="BF4" s="570"/>
      <c r="BG4" s="254"/>
      <c r="BH4" s="570"/>
      <c r="BI4" s="586"/>
      <c r="BJ4" s="355"/>
      <c r="BK4" s="623" t="s">
        <v>22</v>
      </c>
      <c r="BL4" s="624"/>
      <c r="BM4" s="624"/>
      <c r="BN4" s="624"/>
      <c r="BO4" s="624"/>
      <c r="BP4" s="624"/>
      <c r="BQ4" s="307"/>
      <c r="BR4" s="625" t="s">
        <v>288</v>
      </c>
      <c r="BS4" s="626"/>
      <c r="BT4" s="625" t="s">
        <v>289</v>
      </c>
      <c r="BU4" s="626"/>
      <c r="BV4" s="625" t="s">
        <v>290</v>
      </c>
      <c r="BW4" s="627"/>
      <c r="BX4" s="626"/>
      <c r="BY4" s="625" t="s">
        <v>291</v>
      </c>
      <c r="BZ4" s="627"/>
      <c r="CA4" s="626"/>
      <c r="CB4" s="625" t="s">
        <v>292</v>
      </c>
      <c r="CC4" s="626"/>
      <c r="CD4" s="628" t="s">
        <v>124</v>
      </c>
      <c r="CE4" s="629"/>
      <c r="CF4" s="629"/>
      <c r="CG4" s="629"/>
      <c r="CH4" s="629"/>
      <c r="CI4" s="629"/>
      <c r="CJ4" s="629"/>
      <c r="CK4" s="630"/>
      <c r="CL4" s="570"/>
      <c r="CM4" s="570"/>
      <c r="CN4" s="570"/>
      <c r="CO4" s="615" t="s">
        <v>160</v>
      </c>
      <c r="CP4" s="615"/>
      <c r="CQ4" s="615"/>
      <c r="CR4" s="614" t="s">
        <v>293</v>
      </c>
      <c r="CS4" s="614"/>
      <c r="CT4" s="614"/>
      <c r="CU4" s="615" t="s">
        <v>294</v>
      </c>
      <c r="CV4" s="615"/>
      <c r="CW4" s="570"/>
      <c r="CX4" s="570"/>
      <c r="CY4" s="570"/>
      <c r="CZ4" s="570"/>
      <c r="DA4" s="570"/>
      <c r="DB4" s="572"/>
      <c r="DC4" s="572"/>
      <c r="DD4" s="570"/>
      <c r="DE4" s="570"/>
      <c r="DF4" s="570"/>
      <c r="DG4" s="570"/>
      <c r="DH4" s="570"/>
      <c r="DI4" s="570"/>
      <c r="DJ4" s="570"/>
      <c r="DK4" s="570"/>
      <c r="DL4" s="570"/>
      <c r="DM4" s="570"/>
      <c r="DN4" s="570"/>
      <c r="DO4" s="632"/>
      <c r="DP4" s="632"/>
      <c r="DQ4" s="634"/>
      <c r="DR4" s="638"/>
      <c r="DS4" s="639"/>
      <c r="DT4" s="640"/>
      <c r="DU4" s="641"/>
      <c r="DV4" s="648" t="s">
        <v>336</v>
      </c>
      <c r="DW4" s="649"/>
      <c r="DX4" s="649"/>
      <c r="DY4" s="649"/>
      <c r="DZ4" s="649"/>
      <c r="EA4" s="650" t="s">
        <v>337</v>
      </c>
      <c r="EB4" s="651"/>
      <c r="EC4" s="654" t="s">
        <v>338</v>
      </c>
      <c r="ED4" s="374" t="s">
        <v>339</v>
      </c>
      <c r="EE4" s="374"/>
      <c r="EF4" s="374" t="s">
        <v>340</v>
      </c>
      <c r="EG4" s="374" t="s">
        <v>341</v>
      </c>
      <c r="EH4" s="374"/>
      <c r="EI4" s="374" t="s">
        <v>342</v>
      </c>
      <c r="EJ4" s="374"/>
      <c r="EK4" s="374" t="s">
        <v>343</v>
      </c>
      <c r="EL4" s="374"/>
      <c r="EM4" s="655" t="s">
        <v>344</v>
      </c>
      <c r="EN4" s="364">
        <v>0.1</v>
      </c>
      <c r="EO4" s="365">
        <v>0.09</v>
      </c>
      <c r="EP4" s="365">
        <v>0.08</v>
      </c>
      <c r="EQ4" s="375" t="s">
        <v>345</v>
      </c>
      <c r="ER4" s="376" t="s">
        <v>346</v>
      </c>
      <c r="ES4" s="365"/>
      <c r="ET4" s="377"/>
      <c r="EU4" s="378" t="s">
        <v>338</v>
      </c>
      <c r="EV4" s="374" t="s">
        <v>340</v>
      </c>
      <c r="EW4" s="374" t="s">
        <v>347</v>
      </c>
      <c r="EX4" s="374"/>
      <c r="EY4" s="374" t="s">
        <v>342</v>
      </c>
      <c r="EZ4" s="374"/>
      <c r="FA4" s="374" t="s">
        <v>343</v>
      </c>
      <c r="FB4" s="379"/>
      <c r="FC4" s="561" t="s">
        <v>336</v>
      </c>
      <c r="FD4" s="561"/>
      <c r="FE4" s="561"/>
      <c r="FF4" s="561"/>
      <c r="FG4" s="561"/>
      <c r="FH4" s="380" t="s">
        <v>348</v>
      </c>
      <c r="FI4" s="381"/>
      <c r="FJ4" s="380" t="s">
        <v>349</v>
      </c>
      <c r="FK4" s="382"/>
      <c r="FL4" s="383"/>
      <c r="FM4" s="384" t="s">
        <v>350</v>
      </c>
      <c r="FN4" s="570"/>
      <c r="FO4" s="570"/>
      <c r="FP4" s="570"/>
      <c r="FQ4" s="570"/>
      <c r="FR4" s="570"/>
      <c r="FS4" s="572"/>
      <c r="FT4" s="572"/>
      <c r="FU4" s="570"/>
      <c r="FV4" s="570"/>
      <c r="FW4" s="570"/>
      <c r="FX4" s="570"/>
      <c r="FY4" s="570"/>
      <c r="FZ4" s="570"/>
      <c r="GA4" s="570"/>
      <c r="GB4" s="570"/>
      <c r="GC4" s="570"/>
      <c r="GD4" s="570"/>
      <c r="GE4" s="570"/>
      <c r="GF4" s="552" t="s">
        <v>338</v>
      </c>
      <c r="GG4" s="374" t="s">
        <v>340</v>
      </c>
      <c r="GH4" s="374" t="s">
        <v>347</v>
      </c>
      <c r="GI4" s="374"/>
      <c r="GJ4" s="374" t="s">
        <v>342</v>
      </c>
      <c r="GK4" s="374"/>
      <c r="GL4" s="374" t="s">
        <v>343</v>
      </c>
      <c r="GM4" s="379"/>
      <c r="GN4" s="561" t="s">
        <v>336</v>
      </c>
      <c r="GO4" s="561"/>
      <c r="GP4" s="561"/>
      <c r="GQ4" s="561"/>
      <c r="GR4" s="561"/>
      <c r="GS4" s="380" t="s">
        <v>348</v>
      </c>
      <c r="GT4" s="381"/>
      <c r="GU4" s="380" t="s">
        <v>349</v>
      </c>
      <c r="GV4" s="382"/>
      <c r="GW4" s="383"/>
      <c r="GX4" s="384" t="s">
        <v>350</v>
      </c>
    </row>
    <row r="5" spans="1:206" ht="81.75">
      <c r="A5" s="577"/>
      <c r="B5" s="581"/>
      <c r="C5" s="583"/>
      <c r="D5" s="586"/>
      <c r="E5" s="583"/>
      <c r="F5" s="586"/>
      <c r="G5" s="583"/>
      <c r="H5" s="571"/>
      <c r="I5" s="571"/>
      <c r="J5" s="571"/>
      <c r="K5" s="571"/>
      <c r="L5" s="571"/>
      <c r="M5" s="600"/>
      <c r="N5" s="601"/>
      <c r="O5" s="583"/>
      <c r="P5" s="571"/>
      <c r="Q5" s="571"/>
      <c r="R5" s="571"/>
      <c r="S5" s="571"/>
      <c r="T5" s="600"/>
      <c r="U5" s="601"/>
      <c r="V5" s="255" t="s">
        <v>69</v>
      </c>
      <c r="W5" s="256" t="s">
        <v>227</v>
      </c>
      <c r="X5" s="256" t="s">
        <v>69</v>
      </c>
      <c r="Y5" s="256" t="s">
        <v>227</v>
      </c>
      <c r="Z5" s="256" t="s">
        <v>69</v>
      </c>
      <c r="AA5" s="256" t="s">
        <v>228</v>
      </c>
      <c r="AB5" s="256" t="s">
        <v>227</v>
      </c>
      <c r="AC5" s="571"/>
      <c r="AD5" s="609"/>
      <c r="AE5" s="619"/>
      <c r="AF5" s="571"/>
      <c r="AG5" s="571"/>
      <c r="AH5" s="571"/>
      <c r="AI5" s="571"/>
      <c r="AJ5" s="571"/>
      <c r="AK5" s="571"/>
      <c r="AL5" s="571"/>
      <c r="AM5" s="571"/>
      <c r="AN5" s="571"/>
      <c r="AO5" s="571"/>
      <c r="AP5" s="257">
        <v>600</v>
      </c>
      <c r="AQ5" s="257">
        <v>760</v>
      </c>
      <c r="AR5" s="257">
        <v>910</v>
      </c>
      <c r="AS5" s="257">
        <v>1060</v>
      </c>
      <c r="AT5" s="257">
        <v>1220</v>
      </c>
      <c r="AU5" s="258" t="s">
        <v>229</v>
      </c>
      <c r="AV5" s="622"/>
      <c r="AW5" s="622"/>
      <c r="AX5" s="571"/>
      <c r="AY5" s="571"/>
      <c r="AZ5" s="571"/>
      <c r="BA5" s="571"/>
      <c r="BB5" s="571"/>
      <c r="BC5" s="571"/>
      <c r="BD5" s="259" t="s">
        <v>160</v>
      </c>
      <c r="BE5" s="571"/>
      <c r="BF5" s="571"/>
      <c r="BG5" s="259" t="s">
        <v>230</v>
      </c>
      <c r="BH5" s="571"/>
      <c r="BI5" s="609"/>
      <c r="BJ5" s="355"/>
      <c r="BK5" s="308" t="s">
        <v>295</v>
      </c>
      <c r="BL5" s="309"/>
      <c r="BM5" s="310" t="s">
        <v>296</v>
      </c>
      <c r="BN5" s="311"/>
      <c r="BO5" s="312" t="s">
        <v>297</v>
      </c>
      <c r="BP5" s="313"/>
      <c r="BQ5" s="314" t="s">
        <v>22</v>
      </c>
      <c r="BR5" s="315" t="s">
        <v>298</v>
      </c>
      <c r="BS5" s="315" t="s">
        <v>299</v>
      </c>
      <c r="BT5" s="315" t="s">
        <v>298</v>
      </c>
      <c r="BU5" s="315" t="s">
        <v>299</v>
      </c>
      <c r="BV5" s="315" t="s">
        <v>298</v>
      </c>
      <c r="BW5" s="315" t="s">
        <v>214</v>
      </c>
      <c r="BX5" s="315" t="s">
        <v>300</v>
      </c>
      <c r="BY5" s="315" t="s">
        <v>298</v>
      </c>
      <c r="BZ5" s="315" t="s">
        <v>301</v>
      </c>
      <c r="CA5" s="315" t="s">
        <v>302</v>
      </c>
      <c r="CB5" s="315" t="s">
        <v>298</v>
      </c>
      <c r="CC5" s="315" t="s">
        <v>299</v>
      </c>
      <c r="CD5" s="316" t="s">
        <v>303</v>
      </c>
      <c r="CE5" s="317" t="s">
        <v>304</v>
      </c>
      <c r="CF5" s="318" t="s">
        <v>305</v>
      </c>
      <c r="CG5" s="316" t="s">
        <v>306</v>
      </c>
      <c r="CH5" s="317" t="s">
        <v>304</v>
      </c>
      <c r="CI5" s="319" t="s">
        <v>307</v>
      </c>
      <c r="CJ5" s="320" t="s">
        <v>308</v>
      </c>
      <c r="CK5" s="321" t="s">
        <v>309</v>
      </c>
      <c r="CL5" s="571"/>
      <c r="CM5" s="571"/>
      <c r="CN5" s="571"/>
      <c r="CO5" s="322" t="s">
        <v>298</v>
      </c>
      <c r="CP5" s="322" t="s">
        <v>214</v>
      </c>
      <c r="CQ5" s="322" t="s">
        <v>299</v>
      </c>
      <c r="CR5" s="323" t="s">
        <v>310</v>
      </c>
      <c r="CS5" s="323" t="s">
        <v>311</v>
      </c>
      <c r="CT5" s="323" t="s">
        <v>312</v>
      </c>
      <c r="CU5" s="323" t="s">
        <v>313</v>
      </c>
      <c r="CV5" s="320" t="s">
        <v>312</v>
      </c>
      <c r="CW5" s="571"/>
      <c r="CX5" s="571"/>
      <c r="CY5" s="571"/>
      <c r="CZ5" s="571"/>
      <c r="DA5" s="571"/>
      <c r="DB5" s="324" t="s">
        <v>299</v>
      </c>
      <c r="DC5" s="324" t="s">
        <v>299</v>
      </c>
      <c r="DD5" s="571"/>
      <c r="DE5" s="571"/>
      <c r="DF5" s="571"/>
      <c r="DG5" s="571"/>
      <c r="DH5" s="571"/>
      <c r="DI5" s="571"/>
      <c r="DJ5" s="571"/>
      <c r="DK5" s="571"/>
      <c r="DL5" s="571"/>
      <c r="DM5" s="571"/>
      <c r="DN5" s="571"/>
      <c r="DO5" s="633"/>
      <c r="DP5" s="633"/>
      <c r="DQ5" s="635"/>
      <c r="DR5" s="638"/>
      <c r="DS5" s="639"/>
      <c r="DT5" s="642"/>
      <c r="DU5" s="643"/>
      <c r="DV5" s="657" t="s">
        <v>351</v>
      </c>
      <c r="DW5" s="658"/>
      <c r="DX5" s="658"/>
      <c r="DY5" s="659" t="s">
        <v>352</v>
      </c>
      <c r="DZ5" s="659" t="s">
        <v>353</v>
      </c>
      <c r="EA5" s="652"/>
      <c r="EB5" s="653"/>
      <c r="EC5" s="553"/>
      <c r="ED5" s="386" t="s">
        <v>69</v>
      </c>
      <c r="EE5" s="386" t="s">
        <v>227</v>
      </c>
      <c r="EF5" s="374" t="s">
        <v>335</v>
      </c>
      <c r="EG5" s="386" t="s">
        <v>69</v>
      </c>
      <c r="EH5" s="386" t="s">
        <v>227</v>
      </c>
      <c r="EI5" s="386" t="s">
        <v>69</v>
      </c>
      <c r="EJ5" s="386" t="s">
        <v>227</v>
      </c>
      <c r="EK5" s="386" t="s">
        <v>69</v>
      </c>
      <c r="EL5" s="386" t="s">
        <v>227</v>
      </c>
      <c r="EM5" s="656"/>
      <c r="EN5" s="661" t="s">
        <v>26</v>
      </c>
      <c r="EO5" s="662"/>
      <c r="EP5" s="662"/>
      <c r="EQ5" s="663"/>
      <c r="ER5" s="662"/>
      <c r="ES5" s="662"/>
      <c r="ET5" s="664"/>
      <c r="EU5" s="387"/>
      <c r="EV5" s="374" t="s">
        <v>354</v>
      </c>
      <c r="EW5" s="386" t="s">
        <v>69</v>
      </c>
      <c r="EX5" s="386" t="s">
        <v>227</v>
      </c>
      <c r="EY5" s="386" t="s">
        <v>69</v>
      </c>
      <c r="EZ5" s="386" t="s">
        <v>227</v>
      </c>
      <c r="FA5" s="386" t="s">
        <v>69</v>
      </c>
      <c r="FB5" s="388" t="s">
        <v>227</v>
      </c>
      <c r="FC5" s="389" t="s">
        <v>355</v>
      </c>
      <c r="FD5" s="390" t="s">
        <v>356</v>
      </c>
      <c r="FE5" s="390" t="s">
        <v>357</v>
      </c>
      <c r="FF5" s="390" t="s">
        <v>358</v>
      </c>
      <c r="FG5" s="383" t="s">
        <v>359</v>
      </c>
      <c r="FH5" s="385" t="s">
        <v>298</v>
      </c>
      <c r="FI5" s="391" t="s">
        <v>299</v>
      </c>
      <c r="FJ5" s="373" t="s">
        <v>355</v>
      </c>
      <c r="FK5" s="392" t="s">
        <v>356</v>
      </c>
      <c r="FL5" s="391" t="s">
        <v>360</v>
      </c>
      <c r="FM5" s="393" t="s">
        <v>361</v>
      </c>
      <c r="FN5" s="571"/>
      <c r="FO5" s="571"/>
      <c r="FP5" s="571"/>
      <c r="FQ5" s="571"/>
      <c r="FR5" s="571"/>
      <c r="FS5" s="324" t="s">
        <v>299</v>
      </c>
      <c r="FT5" s="324" t="s">
        <v>299</v>
      </c>
      <c r="FU5" s="571"/>
      <c r="FV5" s="571"/>
      <c r="FW5" s="571"/>
      <c r="FX5" s="571"/>
      <c r="FY5" s="571"/>
      <c r="FZ5" s="571"/>
      <c r="GA5" s="571"/>
      <c r="GB5" s="571"/>
      <c r="GC5" s="571"/>
      <c r="GD5" s="571"/>
      <c r="GE5" s="571"/>
      <c r="GF5" s="553"/>
      <c r="GG5" s="374" t="s">
        <v>354</v>
      </c>
      <c r="GH5" s="386" t="s">
        <v>69</v>
      </c>
      <c r="GI5" s="386" t="s">
        <v>227</v>
      </c>
      <c r="GJ5" s="386" t="s">
        <v>69</v>
      </c>
      <c r="GK5" s="386" t="s">
        <v>227</v>
      </c>
      <c r="GL5" s="386" t="s">
        <v>69</v>
      </c>
      <c r="GM5" s="388" t="s">
        <v>227</v>
      </c>
      <c r="GN5" s="389" t="s">
        <v>355</v>
      </c>
      <c r="GO5" s="390" t="s">
        <v>356</v>
      </c>
      <c r="GP5" s="390" t="s">
        <v>357</v>
      </c>
      <c r="GQ5" s="390" t="s">
        <v>358</v>
      </c>
      <c r="GR5" s="383" t="s">
        <v>359</v>
      </c>
      <c r="GS5" s="385" t="s">
        <v>298</v>
      </c>
      <c r="GT5" s="391" t="s">
        <v>299</v>
      </c>
      <c r="GU5" s="373" t="s">
        <v>355</v>
      </c>
      <c r="GV5" s="392" t="s">
        <v>356</v>
      </c>
      <c r="GW5" s="391" t="s">
        <v>360</v>
      </c>
      <c r="GX5" s="393" t="s">
        <v>361</v>
      </c>
    </row>
    <row r="6" spans="1:206" ht="45" customHeight="1" thickBot="1">
      <c r="A6" s="578"/>
      <c r="B6" s="260" t="s">
        <v>231</v>
      </c>
      <c r="C6" s="584"/>
      <c r="D6" s="587"/>
      <c r="E6" s="584"/>
      <c r="F6" s="587"/>
      <c r="G6" s="584"/>
      <c r="H6" s="261" t="s">
        <v>232</v>
      </c>
      <c r="I6" s="261" t="s">
        <v>233</v>
      </c>
      <c r="J6" s="262" t="s">
        <v>234</v>
      </c>
      <c r="K6" s="262" t="s">
        <v>234</v>
      </c>
      <c r="L6" s="262" t="s">
        <v>234</v>
      </c>
      <c r="M6" s="261" t="s">
        <v>235</v>
      </c>
      <c r="N6" s="263" t="s">
        <v>236</v>
      </c>
      <c r="O6" s="584"/>
      <c r="P6" s="262" t="s">
        <v>232</v>
      </c>
      <c r="Q6" s="262" t="s">
        <v>233</v>
      </c>
      <c r="R6" s="262" t="s">
        <v>234</v>
      </c>
      <c r="S6" s="262" t="s">
        <v>234</v>
      </c>
      <c r="T6" s="261" t="s">
        <v>235</v>
      </c>
      <c r="U6" s="263" t="s">
        <v>236</v>
      </c>
      <c r="V6" s="264" t="s">
        <v>234</v>
      </c>
      <c r="W6" s="264" t="s">
        <v>234</v>
      </c>
      <c r="X6" s="261" t="s">
        <v>234</v>
      </c>
      <c r="Y6" s="261" t="s">
        <v>234</v>
      </c>
      <c r="Z6" s="261" t="s">
        <v>234</v>
      </c>
      <c r="AA6" s="261" t="s">
        <v>234</v>
      </c>
      <c r="AB6" s="262" t="s">
        <v>234</v>
      </c>
      <c r="AC6" s="262" t="s">
        <v>237</v>
      </c>
      <c r="AD6" s="265" t="s">
        <v>234</v>
      </c>
      <c r="AE6" s="266" t="s">
        <v>238</v>
      </c>
      <c r="AF6" s="262" t="s">
        <v>238</v>
      </c>
      <c r="AG6" s="262" t="s">
        <v>238</v>
      </c>
      <c r="AH6" s="262" t="s">
        <v>238</v>
      </c>
      <c r="AI6" s="262" t="s">
        <v>238</v>
      </c>
      <c r="AJ6" s="262" t="s">
        <v>238</v>
      </c>
      <c r="AK6" s="262" t="s">
        <v>238</v>
      </c>
      <c r="AL6" s="262" t="s">
        <v>238</v>
      </c>
      <c r="AM6" s="262" t="s">
        <v>239</v>
      </c>
      <c r="AN6" s="262" t="s">
        <v>234</v>
      </c>
      <c r="AO6" s="262"/>
      <c r="AP6" s="262" t="s">
        <v>234</v>
      </c>
      <c r="AQ6" s="262" t="s">
        <v>234</v>
      </c>
      <c r="AR6" s="262" t="s">
        <v>234</v>
      </c>
      <c r="AS6" s="262" t="s">
        <v>234</v>
      </c>
      <c r="AT6" s="262" t="s">
        <v>234</v>
      </c>
      <c r="AU6" s="262" t="s">
        <v>238</v>
      </c>
      <c r="AV6" s="262" t="s">
        <v>238</v>
      </c>
      <c r="AW6" s="262" t="s">
        <v>238</v>
      </c>
      <c r="AX6" s="262" t="s">
        <v>238</v>
      </c>
      <c r="AY6" s="262" t="s">
        <v>240</v>
      </c>
      <c r="AZ6" s="262"/>
      <c r="BA6" s="262"/>
      <c r="BB6" s="262" t="s">
        <v>238</v>
      </c>
      <c r="BC6" s="262" t="s">
        <v>239</v>
      </c>
      <c r="BD6" s="265" t="s">
        <v>238</v>
      </c>
      <c r="BE6" s="265" t="s">
        <v>241</v>
      </c>
      <c r="BF6" s="265" t="s">
        <v>241</v>
      </c>
      <c r="BG6" s="265" t="s">
        <v>238</v>
      </c>
      <c r="BH6" s="265" t="s">
        <v>234</v>
      </c>
      <c r="BI6" s="267" t="s">
        <v>234</v>
      </c>
      <c r="BJ6" s="355"/>
      <c r="BK6" s="264" t="s">
        <v>314</v>
      </c>
      <c r="BL6" s="325" t="s">
        <v>315</v>
      </c>
      <c r="BM6" s="326" t="s">
        <v>314</v>
      </c>
      <c r="BN6" s="261" t="s">
        <v>315</v>
      </c>
      <c r="BO6" s="261" t="s">
        <v>314</v>
      </c>
      <c r="BP6" s="261" t="s">
        <v>315</v>
      </c>
      <c r="BQ6" s="327" t="s">
        <v>316</v>
      </c>
      <c r="BR6" s="328" t="s">
        <v>239</v>
      </c>
      <c r="BS6" s="328" t="s">
        <v>238</v>
      </c>
      <c r="BT6" s="328" t="s">
        <v>239</v>
      </c>
      <c r="BU6" s="328" t="s">
        <v>238</v>
      </c>
      <c r="BV6" s="328" t="s">
        <v>239</v>
      </c>
      <c r="BW6" s="328" t="s">
        <v>234</v>
      </c>
      <c r="BX6" s="328" t="s">
        <v>238</v>
      </c>
      <c r="BY6" s="328" t="s">
        <v>239</v>
      </c>
      <c r="BZ6" s="328" t="s">
        <v>234</v>
      </c>
      <c r="CA6" s="328" t="s">
        <v>238</v>
      </c>
      <c r="CB6" s="328" t="s">
        <v>239</v>
      </c>
      <c r="CC6" s="328" t="s">
        <v>238</v>
      </c>
      <c r="CD6" s="329" t="s">
        <v>239</v>
      </c>
      <c r="CE6" s="330" t="s">
        <v>234</v>
      </c>
      <c r="CF6" s="331" t="s">
        <v>316</v>
      </c>
      <c r="CG6" s="332" t="s">
        <v>239</v>
      </c>
      <c r="CH6" s="330" t="s">
        <v>234</v>
      </c>
      <c r="CI6" s="333" t="s">
        <v>316</v>
      </c>
      <c r="CJ6" s="333" t="s">
        <v>316</v>
      </c>
      <c r="CK6" s="334" t="s">
        <v>316</v>
      </c>
      <c r="CL6" s="262" t="s">
        <v>238</v>
      </c>
      <c r="CM6" s="262" t="s">
        <v>240</v>
      </c>
      <c r="CN6" s="262" t="s">
        <v>239</v>
      </c>
      <c r="CO6" s="335" t="s">
        <v>239</v>
      </c>
      <c r="CP6" s="335" t="s">
        <v>234</v>
      </c>
      <c r="CQ6" s="335" t="s">
        <v>238</v>
      </c>
      <c r="CR6" s="335" t="s">
        <v>239</v>
      </c>
      <c r="CS6" s="335" t="s">
        <v>234</v>
      </c>
      <c r="CT6" s="335" t="s">
        <v>238</v>
      </c>
      <c r="CU6" s="335" t="s">
        <v>239</v>
      </c>
      <c r="CV6" s="304" t="s">
        <v>238</v>
      </c>
      <c r="CW6" s="262" t="s">
        <v>238</v>
      </c>
      <c r="CX6" s="262" t="s">
        <v>238</v>
      </c>
      <c r="CY6" s="262" t="s">
        <v>240</v>
      </c>
      <c r="CZ6" s="262" t="s">
        <v>240</v>
      </c>
      <c r="DA6" s="262" t="s">
        <v>239</v>
      </c>
      <c r="DB6" s="335" t="s">
        <v>238</v>
      </c>
      <c r="DC6" s="335" t="s">
        <v>238</v>
      </c>
      <c r="DD6" s="262" t="s">
        <v>238</v>
      </c>
      <c r="DE6" s="262" t="s">
        <v>240</v>
      </c>
      <c r="DF6" s="262" t="s">
        <v>239</v>
      </c>
      <c r="DG6" s="262" t="s">
        <v>238</v>
      </c>
      <c r="DH6" s="262" t="s">
        <v>240</v>
      </c>
      <c r="DI6" s="262" t="s">
        <v>239</v>
      </c>
      <c r="DJ6" s="262" t="s">
        <v>238</v>
      </c>
      <c r="DK6" s="262" t="s">
        <v>240</v>
      </c>
      <c r="DL6" s="262" t="s">
        <v>239</v>
      </c>
      <c r="DM6" s="262" t="s">
        <v>239</v>
      </c>
      <c r="DN6" s="262" t="s">
        <v>239</v>
      </c>
      <c r="DO6" s="394" t="s">
        <v>362</v>
      </c>
      <c r="DP6" s="394" t="s">
        <v>363</v>
      </c>
      <c r="DQ6" s="395" t="s">
        <v>364</v>
      </c>
      <c r="DR6" s="396" t="s">
        <v>365</v>
      </c>
      <c r="DS6" s="397" t="s">
        <v>366</v>
      </c>
      <c r="DT6" s="398" t="s">
        <v>367</v>
      </c>
      <c r="DU6" s="399" t="s">
        <v>368</v>
      </c>
      <c r="DV6" s="400" t="s">
        <v>369</v>
      </c>
      <c r="DW6" s="401" t="s">
        <v>370</v>
      </c>
      <c r="DX6" s="401" t="s">
        <v>371</v>
      </c>
      <c r="DY6" s="660"/>
      <c r="DZ6" s="660"/>
      <c r="EA6" s="401" t="s">
        <v>365</v>
      </c>
      <c r="EB6" s="402" t="s">
        <v>366</v>
      </c>
      <c r="EC6" s="403" t="s">
        <v>298</v>
      </c>
      <c r="ED6" s="201">
        <v>3.3675723205788017</v>
      </c>
      <c r="EE6" s="201">
        <v>2.5393301314425116</v>
      </c>
      <c r="EF6" s="201">
        <v>31.108679572984329</v>
      </c>
      <c r="EG6" s="201">
        <v>5.2426857605196346</v>
      </c>
      <c r="EH6" s="201">
        <v>3.1097365362195433</v>
      </c>
      <c r="EI6" s="201">
        <v>3.4576313704961308</v>
      </c>
      <c r="EJ6" s="201">
        <v>1.5039680254637915</v>
      </c>
      <c r="EK6" s="201">
        <v>1.0132578286873581</v>
      </c>
      <c r="EL6" s="201">
        <v>0.5961634622220231</v>
      </c>
      <c r="EM6" s="656"/>
      <c r="EN6" s="404">
        <v>1220</v>
      </c>
      <c r="EO6" s="394">
        <v>1060</v>
      </c>
      <c r="EP6" s="394">
        <v>900</v>
      </c>
      <c r="EQ6" s="394">
        <v>760</v>
      </c>
      <c r="ER6" s="394">
        <v>600</v>
      </c>
      <c r="ES6" s="374"/>
      <c r="ET6" s="405"/>
      <c r="EU6" s="403" t="s">
        <v>298</v>
      </c>
      <c r="EV6" s="201"/>
      <c r="EW6" s="201"/>
      <c r="EX6" s="201"/>
      <c r="EY6" s="201"/>
      <c r="EZ6" s="201"/>
      <c r="FA6" s="201"/>
      <c r="FB6" s="201"/>
      <c r="FC6" s="373">
        <f>(0.45+0.3+(1/2.5)*(FF2))*FL2</f>
        <v>0.41204999999999992</v>
      </c>
      <c r="FD6" s="385">
        <f>(0.45+FJ2)*FF2</f>
        <v>2.3624999999999998</v>
      </c>
      <c r="FE6" s="385">
        <f>0.5*FF2*((0.45+0.3+(1/2.5)*(FF2))-(0.45+FJ2))</f>
        <v>1.9844999999999997</v>
      </c>
      <c r="FF6" s="385">
        <f>FK2*0.45</f>
        <v>9.0000000000000011E-2</v>
      </c>
      <c r="FG6" s="391">
        <f>SUM(FC6:FF6)</f>
        <v>4.8490499999999992</v>
      </c>
      <c r="FH6" s="201"/>
      <c r="FI6" s="391">
        <f>(IF(P7&gt;1,P7*R12-(2*(P7-1)*(1/2.5*3)),P7*R12)*FH6)+2*P7*FJ2*FK2*SUM($V$12:$W$12)</f>
        <v>0</v>
      </c>
      <c r="FJ6" s="373">
        <f>(1/2*(FF2/FH2)*FF2)+(0.3*FF2)+(0.45*(FF2+0.2))</f>
        <v>4.4370000000000003</v>
      </c>
      <c r="FK6" s="392">
        <f>(1/2*(FG2/FH2)*FG2)+(0.3*FG2)+(0.45*(FG2+0.2))</f>
        <v>4.4370000000000003</v>
      </c>
      <c r="FL6" s="391">
        <f>(FJ6+FK6)/2*(FI2)</f>
        <v>6.6555</v>
      </c>
      <c r="FM6" s="406">
        <f>FL6+FI6+FG6*SUM($V$12:$W$12)</f>
        <v>6.6555</v>
      </c>
      <c r="FN6" s="262" t="s">
        <v>238</v>
      </c>
      <c r="FO6" s="262" t="s">
        <v>238</v>
      </c>
      <c r="FP6" s="262" t="s">
        <v>240</v>
      </c>
      <c r="FQ6" s="262" t="s">
        <v>240</v>
      </c>
      <c r="FR6" s="262" t="s">
        <v>239</v>
      </c>
      <c r="FS6" s="335" t="s">
        <v>238</v>
      </c>
      <c r="FT6" s="335" t="s">
        <v>238</v>
      </c>
      <c r="FU6" s="262" t="s">
        <v>238</v>
      </c>
      <c r="FV6" s="262" t="s">
        <v>240</v>
      </c>
      <c r="FW6" s="262" t="s">
        <v>239</v>
      </c>
      <c r="FX6" s="262" t="s">
        <v>238</v>
      </c>
      <c r="FY6" s="262" t="s">
        <v>240</v>
      </c>
      <c r="FZ6" s="262" t="s">
        <v>239</v>
      </c>
      <c r="GA6" s="262" t="s">
        <v>238</v>
      </c>
      <c r="GB6" s="262" t="s">
        <v>240</v>
      </c>
      <c r="GC6" s="262" t="s">
        <v>239</v>
      </c>
      <c r="GD6" s="262" t="s">
        <v>239</v>
      </c>
      <c r="GE6" s="262" t="s">
        <v>239</v>
      </c>
      <c r="GF6" s="403" t="s">
        <v>298</v>
      </c>
      <c r="GG6" s="201"/>
      <c r="GH6" s="201"/>
      <c r="GI6" s="201"/>
      <c r="GJ6" s="201"/>
      <c r="GK6" s="201"/>
      <c r="GL6" s="201"/>
      <c r="GM6" s="201"/>
      <c r="GN6" s="373">
        <f>(0.45+0.3+(1/2.5)*(GQ2))*GW2</f>
        <v>0.41204999999999992</v>
      </c>
      <c r="GO6" s="385">
        <f>(0.45+GU2)*GQ2</f>
        <v>2.3624999999999998</v>
      </c>
      <c r="GP6" s="385">
        <f>0.5*GQ2*((0.45+0.3+(1/2.5)*(GQ2))-(0.45+GU2))</f>
        <v>1.9844999999999997</v>
      </c>
      <c r="GQ6" s="385">
        <f>GV2*0.45</f>
        <v>9.0000000000000011E-2</v>
      </c>
      <c r="GR6" s="391">
        <f>SUM(GN6:GQ6)</f>
        <v>4.8490499999999992</v>
      </c>
      <c r="GS6" s="201"/>
      <c r="GT6" s="391">
        <f>(IF(BA7&gt;1,BA7*BA12-(2*(BA7-1)*(1/2.5*3)),BA7*BA12)*GS6)+2*BA7*GU2*GV2*SUM($V$12:$W$12)</f>
        <v>0</v>
      </c>
      <c r="GU6" s="373">
        <f>(1/2*(GQ2/GS2)*GQ2)+(0.3*GQ2)+(0.45*(GQ2+0.2))</f>
        <v>4.4370000000000003</v>
      </c>
      <c r="GV6" s="392">
        <f>(1/2*(GR2/GS2)*GR2)+(0.3*GR2)+(0.45*(GR2+0.2))</f>
        <v>4.4370000000000003</v>
      </c>
      <c r="GW6" s="391">
        <f>(GU6+GV6)/2*(GT2)</f>
        <v>6.6555</v>
      </c>
      <c r="GX6" s="406">
        <f>GW6+GT6+GR6*SUM($V$12:$W$12)</f>
        <v>6.6555</v>
      </c>
    </row>
    <row r="7" spans="1:206" ht="15.75" thickTop="1">
      <c r="A7" s="439" t="s">
        <v>425</v>
      </c>
      <c r="B7" s="443" t="str">
        <f>IF(O7="RCP","RCP",IF(O7="SC","SC",IF(O7="BC","BC")))</f>
        <v>SC</v>
      </c>
      <c r="C7" s="444" t="str">
        <f>IF(O7="RCP","RCP",IF(O7="SC","SC",IF(O7="BC","BC")))</f>
        <v>SC</v>
      </c>
      <c r="D7" s="442" t="str">
        <f>IF(O7="RCP","RCP",IF(O7="SC","SC",IF(O7="BC","BC")))</f>
        <v>SC</v>
      </c>
      <c r="E7" s="268" t="str">
        <f>Pipe!$E$11</f>
        <v>L</v>
      </c>
      <c r="F7" s="442" t="str">
        <f>IF(O7="RCP","RCP",IF(O7="SC","SC",IF(O7="BC","BC")))</f>
        <v>SC</v>
      </c>
      <c r="G7" s="269"/>
      <c r="H7" s="270"/>
      <c r="I7" s="271"/>
      <c r="J7" s="270"/>
      <c r="K7" s="270"/>
      <c r="L7" s="270"/>
      <c r="M7" s="272"/>
      <c r="N7" s="272"/>
      <c r="O7" s="441" t="s">
        <v>66</v>
      </c>
      <c r="P7" s="273">
        <f>IF(O7="SC",[1]SLB_CU!$E$5,IF(O7="RCP",[1]main!$J$6,IF(O7="BC",[1]BOX_CU!$E$5,"")))</f>
        <v>1</v>
      </c>
      <c r="Q7" s="432" t="str">
        <f>IF(O7="RCP",[1]main!$B$4,"")</f>
        <v/>
      </c>
      <c r="R7" s="273">
        <f>IF(O7="RCP","",IF(O7="SC",[1]SLB_CU!$D$5,IF(O7="BC",[1]BOX_CU!$D$5,"")))</f>
        <v>1</v>
      </c>
      <c r="S7" s="273">
        <f>IF(O7="RCP","",IF(O7="SC",[1]SLB_CU!$E$12,IF(O7="BC",[1]BOX_CU!$E$8,"")))</f>
        <v>1.3</v>
      </c>
      <c r="T7" s="273" t="str">
        <f>IF(O7="RCP",[1]main!$D$7,IF(O7="SC",[1]SLB_CU!$H$6,IF(O7="BC",[1]BOX_CU!$H$5)))</f>
        <v>C</v>
      </c>
      <c r="U7" s="273" t="str">
        <f>IF(O7="RCP",[1]main!$G$7,IF(O7="SC",[1]SLB_CU!$I$6,IF(O7="BC",[1]BOX_CU!$I$5)))</f>
        <v>C</v>
      </c>
      <c r="V7" s="433">
        <f>ROUND(Pipe!$F$47,2)</f>
        <v>11.17</v>
      </c>
      <c r="W7" s="433">
        <f>ROUND(Pipe!$G$47,2)</f>
        <v>10.89</v>
      </c>
      <c r="X7" s="434" t="s">
        <v>242</v>
      </c>
      <c r="Y7" s="434" t="s">
        <v>242</v>
      </c>
      <c r="Z7" s="434" t="s">
        <v>242</v>
      </c>
      <c r="AA7" s="435">
        <f>Pipe!E10</f>
        <v>219.51</v>
      </c>
      <c r="AB7" s="434" t="s">
        <v>242</v>
      </c>
      <c r="AC7" s="448">
        <f>ABS([1]main!$D$4)</f>
        <v>0.73</v>
      </c>
      <c r="AD7" s="449">
        <f>IF(O7="RCP",Pipe!$F$50,IF(O7="SC",[1]SLB_CU!$B$8,IF(O7="BC",ROUND([1]BOX_CU!$C$8,3))))</f>
        <v>1.649569805019155</v>
      </c>
      <c r="AE7" s="436">
        <f>IF(O7="RCP",'Variabel data'!$A$4/100*EM7,IF(O7="SC",SUMPRODUCT(EV6:FB6,EV7:FB7)*'Variabel data'!$A$4/100,IF(O7="BC","BC")))</f>
        <v>0</v>
      </c>
      <c r="AF7" s="437">
        <f>IF(O7="RCP",'Variabel data'!$B$4/100*EM7,IF(O7="SC",SUMPRODUCT(EV6:FB6,EV7:FB7)*'Variabel data'!$B$4/100,IF(O7="BC","BC")))</f>
        <v>0</v>
      </c>
      <c r="AG7" s="437">
        <f>IF(O7="RCP",SUMPRODUCT(EK6:EL6,EK7:EL7),IF(O7="SC",SUMPRODUCT(FA6:FB6,FA7:FB7),IF(O7="BC","BC")))</f>
        <v>0</v>
      </c>
      <c r="AH7" s="437">
        <f>IF(O7="RCP",'Variabel data'!$A$2/100*(DZ7+EA7+EB7),IF(O7="SC",0,IF(O7="BC","BC")))</f>
        <v>0</v>
      </c>
      <c r="AI7" s="437">
        <f>IF(O7="RCP",'Variabel data'!$B$2/100*(DZ7+EA7+EB7),IF(O7="SC",FM7,IF(O7="BC","BC")))</f>
        <v>6.6555</v>
      </c>
      <c r="AJ7" s="270"/>
      <c r="AK7" s="274">
        <f>(0.2*(0.8+J7)*L7)+(((K7/2.5+0.4+0.4)*2)+J7)*0.2*L7</f>
        <v>0</v>
      </c>
      <c r="AL7" s="274">
        <f>((0.4*K7)+(K7/2.5*0.5*K7))*L7*2</f>
        <v>0</v>
      </c>
      <c r="AM7" s="274">
        <f>J7*L7</f>
        <v>0</v>
      </c>
      <c r="AN7" s="270"/>
      <c r="AO7" s="273" t="str">
        <f>IF(O7="RCP","B","")</f>
        <v/>
      </c>
      <c r="AP7" s="273" t="str">
        <f>IF($Q$12="","",IF($Q$12=AP5,$P$12*($V$12+$W$12),""))</f>
        <v/>
      </c>
      <c r="AQ7" s="273" t="str">
        <f>IF($Q$12="","",IF($Q$12=AQ5,$P$12*($V$12+$W$12),""))</f>
        <v/>
      </c>
      <c r="AR7" s="273" t="str">
        <f>IF($Q$12="","",IF($Q$12=AR5,$P$12*($V$12+$W$12),""))</f>
        <v/>
      </c>
      <c r="AS7" s="273" t="str">
        <f>IF($Q$12="","",IF($Q$12=AS5,$P$12*($V$12+$W$12),""))</f>
        <v/>
      </c>
      <c r="AT7" s="273" t="str">
        <f>IF($Q$12="","",IF($Q$12=AT5,$P$12*($V$12+$W$12),""))</f>
        <v/>
      </c>
      <c r="AU7" s="345" t="e">
        <f>IF(O7="RCP","",IF(O7="SC",DC7,IF(O7="BC","BC")))</f>
        <v>#REF!</v>
      </c>
      <c r="AV7" s="345" t="e">
        <f>IF(O7="RCP","",IF(O7="SC",DB7,IF(O7="BC","BC")))</f>
        <v>#REF!</v>
      </c>
      <c r="AW7" s="273">
        <f>IF(O7="RCP","",IF(O7="SC",DJ7,IF(O7="BC","BC")))</f>
        <v>12.903499999999999</v>
      </c>
      <c r="AX7" s="273" t="str">
        <f>IF(O7="RCP",ROUND(SUM($EN$7:$ER$7)*SUM(V7,W7),2),IF(O7="SC","",IF(O7="BC","")))</f>
        <v/>
      </c>
      <c r="AY7" s="273">
        <f>IF(O7="RCP","",IF(O7="SC",AZ7+BA7,IF(O7="BC","BC")))</f>
        <v>1437.3907999999999</v>
      </c>
      <c r="AZ7" s="273">
        <f>IF(O7="RCP","",IF(O7="SC",0,IF(O7="BC","BC")))</f>
        <v>0</v>
      </c>
      <c r="BA7" s="273">
        <f>IF(O7="RCP","",IF(O7="SC",DK7,IF(O7="BC","BC")))</f>
        <v>1437.3907999999999</v>
      </c>
      <c r="BB7" s="345" t="e">
        <f>IF(O7="RCP",DR7+DS7,IF(O7="SC",CT7+CV7+BS7,IF(O7="BC","BC")))</f>
        <v>#REF!</v>
      </c>
      <c r="BC7" s="273" t="e">
        <f>IF(O7="RCP",DT7+DU7,IF(O7="SC",DN7,IF(O7="BC","BC")))</f>
        <v>#REF!</v>
      </c>
      <c r="BD7" s="438" t="e">
        <f>IF(O7="RCP",0,IF(O7="SC",CQ7,IF(O7="BC","BC")))</f>
        <v>#REF!</v>
      </c>
      <c r="BE7" s="426">
        <f>30/0.5</f>
        <v>60</v>
      </c>
      <c r="BF7" s="426"/>
      <c r="BG7" s="426"/>
      <c r="BH7" s="427"/>
      <c r="BI7" s="428"/>
      <c r="BJ7" s="355"/>
      <c r="BK7" s="268">
        <v>0</v>
      </c>
      <c r="BL7" s="336">
        <v>0</v>
      </c>
      <c r="BM7" s="337">
        <v>0</v>
      </c>
      <c r="BN7" s="273">
        <v>0</v>
      </c>
      <c r="BO7" s="273">
        <v>0</v>
      </c>
      <c r="BP7" s="273">
        <v>0</v>
      </c>
      <c r="BQ7" s="336">
        <f>BO7+BP7</f>
        <v>0</v>
      </c>
      <c r="BR7" s="338">
        <f>2*2.0293</f>
        <v>4.0586000000000002</v>
      </c>
      <c r="BS7" s="339" t="e">
        <f>BR7*#REF!</f>
        <v>#REF!</v>
      </c>
      <c r="BT7" s="338">
        <f>((2.5178)*2)+0.4223</f>
        <v>5.4578999999999995</v>
      </c>
      <c r="BU7" s="339" t="e">
        <f>BT7*#REF!</f>
        <v>#REF!</v>
      </c>
      <c r="BV7" s="338">
        <f>2*0.4044</f>
        <v>0.80879999999999996</v>
      </c>
      <c r="BW7" s="340">
        <v>30</v>
      </c>
      <c r="BX7" s="341">
        <f>BW7*BV7</f>
        <v>24.263999999999999</v>
      </c>
      <c r="BY7" s="338">
        <f>(0.4+((S7+0.5)/2.5)+0.4)*BW7*2</f>
        <v>91.2</v>
      </c>
      <c r="BZ7" s="340">
        <v>0.05</v>
      </c>
      <c r="CA7" s="338">
        <f>BZ7*BY7</f>
        <v>4.5600000000000005</v>
      </c>
      <c r="CB7" s="338" t="e">
        <f>#REF!*R7</f>
        <v>#REF!</v>
      </c>
      <c r="CC7" s="338" t="e">
        <f>CB7*#REF!</f>
        <v>#REF!</v>
      </c>
      <c r="CD7" s="342" t="e">
        <f>#REF!*0.5+(#REF!-0.2)*0.2+0.5*#REF!*#REF!/2.5</f>
        <v>#REF!</v>
      </c>
      <c r="CE7" s="343">
        <f>R7+0.4*2</f>
        <v>1.8</v>
      </c>
      <c r="CF7" s="344" t="e">
        <f>CD7*CE7</f>
        <v>#REF!</v>
      </c>
      <c r="CG7" s="345" t="e">
        <f>2*(#REF!*#REF!/#REF!*0.5+0.2*#REF!+0.5*(#REF!+0.2))+R7*(0.8-0.2)+0.2*(R7-2*0.2)</f>
        <v>#REF!</v>
      </c>
      <c r="CH7" s="273">
        <f>V7+W7</f>
        <v>22.060000000000002</v>
      </c>
      <c r="CI7" s="273" t="e">
        <f>CG7*CH7</f>
        <v>#REF!</v>
      </c>
      <c r="CJ7" s="346">
        <v>0</v>
      </c>
      <c r="CK7" s="336" t="e">
        <f>CF7+CI7+CJ7</f>
        <v>#REF!</v>
      </c>
      <c r="CL7" s="273">
        <v>0</v>
      </c>
      <c r="CM7" s="273">
        <v>0</v>
      </c>
      <c r="CN7" s="273">
        <v>22.86</v>
      </c>
      <c r="CO7" s="347">
        <v>21.9666</v>
      </c>
      <c r="CP7" s="347" t="e">
        <f>#REF!</f>
        <v>#REF!</v>
      </c>
      <c r="CQ7" s="347" t="e">
        <f>CP7*CO7</f>
        <v>#REF!</v>
      </c>
      <c r="CR7" s="348">
        <v>2.86</v>
      </c>
      <c r="CS7" s="348" t="e">
        <f>1+0.8+(2.35*2)+(0.5*4*(#REF!/2.5))</f>
        <v>#REF!</v>
      </c>
      <c r="CT7" s="348" t="e">
        <f>CS7*CR7</f>
        <v>#REF!</v>
      </c>
      <c r="CU7" s="347" t="e">
        <f>((0.5*#REF!/2.5*#REF!)+(0.4*#REF!))*2</f>
        <v>#REF!</v>
      </c>
      <c r="CV7" s="349" t="e">
        <f>CU7*(V7+W7)</f>
        <v>#REF!</v>
      </c>
      <c r="CW7" s="350">
        <v>0.42499999999999999</v>
      </c>
      <c r="CX7" s="351">
        <f>CW7*(V7+W7)</f>
        <v>9.3755000000000006</v>
      </c>
      <c r="CY7" s="350">
        <v>47.18</v>
      </c>
      <c r="CZ7" s="351">
        <f>CY7*(V7+W7)</f>
        <v>1040.7908</v>
      </c>
      <c r="DA7" s="351">
        <f>R7*(V7+W7)</f>
        <v>22.060000000000002</v>
      </c>
      <c r="DB7" s="352" t="e">
        <f>((V7+W7)*0.2*((#REF!/#REF!)+0.8))*2</f>
        <v>#REF!</v>
      </c>
      <c r="DC7" s="349" t="e">
        <f>(V7+W7)*0.05*((#REF!/#REF!)+0.4)</f>
        <v>#REF!</v>
      </c>
      <c r="DD7" s="350">
        <f>3*0.588</f>
        <v>1.7639999999999998</v>
      </c>
      <c r="DE7" s="350">
        <f>3*66.1</f>
        <v>198.29999999999998</v>
      </c>
      <c r="DF7" s="353">
        <f>2.35*1</f>
        <v>2.35</v>
      </c>
      <c r="DG7" s="350">
        <f>3*0.588</f>
        <v>1.7639999999999998</v>
      </c>
      <c r="DH7" s="350">
        <f>3*66.1</f>
        <v>198.29999999999998</v>
      </c>
      <c r="DI7" s="351">
        <f>2.7*1*0</f>
        <v>0</v>
      </c>
      <c r="DJ7" s="354">
        <f>CX7+DD7+DG7</f>
        <v>12.903499999999999</v>
      </c>
      <c r="DK7" s="354">
        <f>CZ7+DE7+DH7</f>
        <v>1437.3907999999999</v>
      </c>
      <c r="DL7" s="351">
        <f>DA7+DF7+DI7</f>
        <v>24.410000000000004</v>
      </c>
      <c r="DM7" s="351" t="e">
        <f>CB7</f>
        <v>#REF!</v>
      </c>
      <c r="DN7" s="351" t="e">
        <f>DL7+DM7</f>
        <v>#REF!</v>
      </c>
      <c r="DO7" s="407" t="str">
        <f>CONCATENATE(T7,"-",P7,"-",Q7)</f>
        <v>C-1-</v>
      </c>
      <c r="DP7" s="407" t="str">
        <f>CONCATENATE(U7,"-",P7,"-",Q7)</f>
        <v>C-1-</v>
      </c>
      <c r="DQ7" s="407" t="str">
        <f>P7&amp;Q7</f>
        <v>1</v>
      </c>
      <c r="DR7" s="408">
        <f>IF([1]main!$G$10=2013,[1]ERA2013!$M$3,INDEX('Pipe Culvert'!$Q$4:$Q$63,MATCH(DO7,'Pipe Culvert'!$A$4:$A$63,0)))</f>
        <v>10.72</v>
      </c>
      <c r="DS7" s="408">
        <f>IF([1]main!$G$10=2013,[1]ERA2013!$M$3,INDEX('Pipe Culvert'!$Q$4:$Q$63,MATCH(DP7,'Pipe Culvert'!$A$4:$A$63,0)))</f>
        <v>10.72</v>
      </c>
      <c r="DT7" s="409">
        <f>IF([1]main!$G$10=2013,[1]ERA2013!$N$3,INDEX('Pipe Culvert'!$R$4:$R$63,MATCH(DO7,'Pipe Culvert'!$A$4:$A$63,0)))</f>
        <v>8</v>
      </c>
      <c r="DU7" s="409">
        <f>IF([1]main!$G$10=2013,[1]ERA2013!$N$3,INDEX('Pipe Culvert'!$R$4:$R$63,MATCH(DP7,'Pipe Culvert'!$A$4:$A$63,0)))</f>
        <v>8</v>
      </c>
      <c r="DV7" s="410">
        <f>V7+W7</f>
        <v>22.060000000000002</v>
      </c>
      <c r="DW7" s="408" t="e">
        <f>INDEX('Pipe Culvert'!$W$4:$W$63,MATCH(DO7,'Pipe Culvert'!$A$4:$A$63,0))</f>
        <v>#N/A</v>
      </c>
      <c r="DX7" s="408" t="e">
        <f>INDEX('Pipe Culvert'!$W$4:$W$63,MATCH(DP7,'Pipe Culvert'!$A$4:$A$63,0))</f>
        <v>#N/A</v>
      </c>
      <c r="DY7" s="408" t="e">
        <f>INDEX('Pipe Culvert'!$K$82:$K$90,MATCH(CONCATENATE(P7,Q7),'Pipe Culvert'!$A$82:$A$90,0))</f>
        <v>#N/A</v>
      </c>
      <c r="DZ7" s="411" t="e">
        <f>(DV7-DW7-DX7-0.9)*DY7</f>
        <v>#N/A</v>
      </c>
      <c r="EA7" s="408" t="e">
        <f>INDEX('Pipe Culvert'!$X$4:$X$63,MATCH(DO7,'Pipe Culvert'!$A$4:$A$63,0))</f>
        <v>#N/A</v>
      </c>
      <c r="EB7" s="408" t="e">
        <f>INDEX('Pipe Culvert'!$X$4:$X$63,MATCH(DP7,'Pipe Culvert'!$A$4:$A$63,0))</f>
        <v>#N/A</v>
      </c>
      <c r="EC7" s="412" t="s">
        <v>372</v>
      </c>
      <c r="ED7" s="407" t="e">
        <f>INDEX('Pipe Culvert'!$S$4:$S$63,MATCH(DO7,'Pipe Culvert'!$A$4:$A$63,0))</f>
        <v>#N/A</v>
      </c>
      <c r="EE7" s="407" t="e">
        <f>INDEX('Pipe Culvert'!$S$4:$S$63,MATCH(DP7,'Pipe Culvert'!$A$4:$A$63,0))</f>
        <v>#N/A</v>
      </c>
      <c r="EF7" s="413" t="e">
        <f>INDEX('Pipe Culvert'!$L$82:$L$90,MATCH(CONCATENATE(P7,Q7),'Pipe Culvert'!$A$82:$A$90,0))</f>
        <v>#N/A</v>
      </c>
      <c r="EG7" s="413" t="e">
        <f>INDEX('Pipe Culvert'!$T$4:$T$63,MATCH(DO7,'Pipe Culvert'!$A$4:$A$63,0))</f>
        <v>#N/A</v>
      </c>
      <c r="EH7" s="414" t="e">
        <f>INDEX('Pipe Culvert'!$T$4:$T$63,MATCH(DP7,'Pipe Culvert'!$A$4:$A$63,0))</f>
        <v>#N/A</v>
      </c>
      <c r="EI7" s="414" t="e">
        <f>INDEX('Pipe Culvert'!$U$4:$U$63,MATCH(DO7,'Pipe Culvert'!$A$4:$A$63,0))</f>
        <v>#N/A</v>
      </c>
      <c r="EJ7" s="414" t="e">
        <f>INDEX('Pipe Culvert'!$U$4:$U$63,MATCH(DP7,'Pipe Culvert'!$A$4:$A$63,0))</f>
        <v>#N/A</v>
      </c>
      <c r="EK7" s="414" t="e">
        <f>EI7</f>
        <v>#N/A</v>
      </c>
      <c r="EL7" s="414" t="e">
        <f>EJ7</f>
        <v>#N/A</v>
      </c>
      <c r="EM7" s="415" t="e">
        <f>SUMPRODUCT(ED6:EH6,ED7:EH7)</f>
        <v>#N/A</v>
      </c>
      <c r="EN7" s="416">
        <f>IF($Q$7=EN6,EN2*EN3-EN1,0)</f>
        <v>0</v>
      </c>
      <c r="EO7" s="416">
        <f t="shared" ref="EO7:ER7" si="0">IF($Q$7=EO6,EO2*EO3-EO1,0)</f>
        <v>0</v>
      </c>
      <c r="EP7" s="416">
        <f t="shared" si="0"/>
        <v>0</v>
      </c>
      <c r="EQ7" s="416">
        <f t="shared" si="0"/>
        <v>0</v>
      </c>
      <c r="ER7" s="416">
        <f t="shared" si="0"/>
        <v>0</v>
      </c>
      <c r="ES7" s="407"/>
      <c r="ET7" s="407"/>
      <c r="EU7" s="403" t="s">
        <v>372</v>
      </c>
      <c r="EV7" s="417">
        <f>0.45*2+($P$7*$R$12+($P$7-1)*0.8)+2*(1/2.5)*FF2+0.4*2+2*(FF2/10)+0.3*2</f>
        <v>5.4499999999999993</v>
      </c>
      <c r="EW7" s="418">
        <f>0.9+COS(45*PI()/180)*FI2</f>
        <v>1.9606601717798213</v>
      </c>
      <c r="EX7" s="418">
        <f>0.9+COS(45*PI()/180)*FI2</f>
        <v>1.9606601717798213</v>
      </c>
      <c r="EY7" s="419">
        <f>P7*$R$12+(P7-1)*0.8+COS(45*PI()/180)*FI2-0.45*2</f>
        <v>0.16066017177982139</v>
      </c>
      <c r="EZ7" s="419">
        <f>P7*$R$12+(P7-1)*0.8+COS(45*PI()/180)*FI2-0.45*2</f>
        <v>0.16066017177982139</v>
      </c>
      <c r="FA7" s="419">
        <f>P7*$R$12+(P7-1)*0.8+COS(45*PI()/180)*FI2</f>
        <v>1.0606601717798214</v>
      </c>
      <c r="FB7" s="420">
        <f>P7*$R$12+(P7-1)*0.8+COS(45*PI()/180)*FI2</f>
        <v>1.0606601717798214</v>
      </c>
      <c r="FC7" s="421">
        <f t="shared" ref="FC7:FM7" si="1">FC6</f>
        <v>0.41204999999999992</v>
      </c>
      <c r="FD7" s="351">
        <f t="shared" si="1"/>
        <v>2.3624999999999998</v>
      </c>
      <c r="FE7" s="351">
        <f t="shared" si="1"/>
        <v>1.9844999999999997</v>
      </c>
      <c r="FF7" s="351">
        <f t="shared" si="1"/>
        <v>9.0000000000000011E-2</v>
      </c>
      <c r="FG7" s="351">
        <f t="shared" si="1"/>
        <v>4.8490499999999992</v>
      </c>
      <c r="FH7" s="351">
        <f t="shared" si="1"/>
        <v>0</v>
      </c>
      <c r="FI7" s="351">
        <f t="shared" si="1"/>
        <v>0</v>
      </c>
      <c r="FJ7" s="351">
        <f t="shared" si="1"/>
        <v>4.4370000000000003</v>
      </c>
      <c r="FK7" s="351">
        <f t="shared" si="1"/>
        <v>4.4370000000000003</v>
      </c>
      <c r="FL7" s="422">
        <f t="shared" si="1"/>
        <v>6.6555</v>
      </c>
      <c r="FM7" s="351">
        <f t="shared" si="1"/>
        <v>6.6555</v>
      </c>
      <c r="FN7" s="467">
        <v>0.42499999999999999</v>
      </c>
      <c r="FO7" s="468">
        <f>FN7*(CM7+CN7)</f>
        <v>9.7154999999999987</v>
      </c>
      <c r="FP7" s="467">
        <v>47.18</v>
      </c>
      <c r="FQ7" s="468">
        <f>FP7*(CM7+CN7)</f>
        <v>1078.5347999999999</v>
      </c>
      <c r="FR7" s="468" t="e">
        <f>CI7*(CM7+CN7)</f>
        <v>#REF!</v>
      </c>
      <c r="FS7" s="469" t="e">
        <f>((CM7+CN7)*0.2*((#REF!/#REF!)+0.8))*2</f>
        <v>#REF!</v>
      </c>
      <c r="FT7" s="470" t="e">
        <f>(CM7+CN7)*0.05*((#REF!/#REF!)+0.4)</f>
        <v>#REF!</v>
      </c>
      <c r="FU7" s="467">
        <f>3*0.588</f>
        <v>1.7639999999999998</v>
      </c>
      <c r="FV7" s="467">
        <f>3*66.1</f>
        <v>198.29999999999998</v>
      </c>
      <c r="FW7" s="467">
        <f>2.35*1</f>
        <v>2.35</v>
      </c>
      <c r="FX7" s="467">
        <f>3*0.588</f>
        <v>1.7639999999999998</v>
      </c>
      <c r="FY7" s="467">
        <f>3*66.1</f>
        <v>198.29999999999998</v>
      </c>
      <c r="FZ7" s="468">
        <f>2.7*1*0</f>
        <v>0</v>
      </c>
      <c r="GA7" s="471">
        <f>FO7+FU7+FX7</f>
        <v>13.243499999999997</v>
      </c>
      <c r="GB7" s="471">
        <f>FQ7+FV7+FY7</f>
        <v>1475.1347999999998</v>
      </c>
      <c r="GC7" s="468" t="e">
        <f>FR7+FW7+FZ7</f>
        <v>#REF!</v>
      </c>
      <c r="GD7" s="468">
        <f>ES7</f>
        <v>0</v>
      </c>
      <c r="GE7" s="468" t="e">
        <f>GC7+GD7</f>
        <v>#REF!</v>
      </c>
      <c r="GF7" s="403" t="s">
        <v>372</v>
      </c>
      <c r="GG7" s="464">
        <f>0.45*2</f>
        <v>0.9</v>
      </c>
      <c r="GH7" s="465">
        <f>0.9+COS(45*PI()/180)*GT2</f>
        <v>1.9606601717798213</v>
      </c>
      <c r="GI7" s="465">
        <f>0.9+COS(45*PI()/180)*GT2</f>
        <v>1.9606601717798213</v>
      </c>
      <c r="GJ7" s="465">
        <f>BA7*$R$12+(BA7-1)*0.8+COS(45*PI()/180)*GT2-0.45*2</f>
        <v>1149.2733001717797</v>
      </c>
      <c r="GK7" s="465">
        <f>BA7*$R$12+(BA7-1)*0.8+COS(45*PI()/180)*GT2-0.45*2</f>
        <v>1149.2733001717797</v>
      </c>
      <c r="GL7" s="465">
        <f>BA7*$R$12+(BA7-1)*0.8+COS(45*PI()/180)*GT2</f>
        <v>1150.1733001717798</v>
      </c>
      <c r="GM7" s="466">
        <f>BA7*$R$12+(BA7-1)*0.8+COS(45*PI()/180)*GT2</f>
        <v>1150.1733001717798</v>
      </c>
      <c r="GN7" s="421">
        <f t="shared" ref="GN7:GX7" si="2">GN6</f>
        <v>0.41204999999999992</v>
      </c>
      <c r="GO7" s="351">
        <f t="shared" si="2"/>
        <v>2.3624999999999998</v>
      </c>
      <c r="GP7" s="351">
        <f t="shared" si="2"/>
        <v>1.9844999999999997</v>
      </c>
      <c r="GQ7" s="351">
        <f t="shared" si="2"/>
        <v>9.0000000000000011E-2</v>
      </c>
      <c r="GR7" s="351">
        <f t="shared" si="2"/>
        <v>4.8490499999999992</v>
      </c>
      <c r="GS7" s="351">
        <f t="shared" si="2"/>
        <v>0</v>
      </c>
      <c r="GT7" s="351">
        <f t="shared" si="2"/>
        <v>0</v>
      </c>
      <c r="GU7" s="351">
        <f t="shared" si="2"/>
        <v>4.4370000000000003</v>
      </c>
      <c r="GV7" s="351">
        <f t="shared" si="2"/>
        <v>4.4370000000000003</v>
      </c>
      <c r="GW7" s="422">
        <f t="shared" si="2"/>
        <v>6.6555</v>
      </c>
      <c r="GX7" s="431">
        <f t="shared" si="2"/>
        <v>6.6555</v>
      </c>
    </row>
    <row r="8" spans="1:206" ht="15">
      <c r="A8" s="474"/>
      <c r="B8" s="475"/>
      <c r="C8" s="476"/>
      <c r="D8" s="476"/>
      <c r="E8" s="477"/>
      <c r="F8" s="476"/>
      <c r="G8" s="478"/>
      <c r="H8" s="479"/>
      <c r="I8" s="480"/>
      <c r="J8" s="479"/>
      <c r="K8" s="479"/>
      <c r="L8" s="479"/>
      <c r="M8" s="479"/>
      <c r="N8" s="479"/>
      <c r="O8" s="481"/>
      <c r="P8" s="477"/>
      <c r="Q8" s="482"/>
      <c r="R8" s="477"/>
      <c r="S8" s="477"/>
      <c r="T8" s="477"/>
      <c r="U8" s="477"/>
      <c r="V8" s="483"/>
      <c r="W8" s="483"/>
      <c r="X8" s="484"/>
      <c r="Y8" s="484"/>
      <c r="Z8" s="484"/>
      <c r="AA8" s="485"/>
      <c r="AB8" s="484"/>
      <c r="AC8" s="483"/>
      <c r="AD8" s="477"/>
      <c r="AE8" s="486"/>
      <c r="AF8" s="486"/>
      <c r="AG8" s="486"/>
      <c r="AH8" s="486"/>
      <c r="AI8" s="486"/>
      <c r="AJ8" s="479"/>
      <c r="AK8" s="487"/>
      <c r="AL8" s="487"/>
      <c r="AM8" s="487"/>
      <c r="AN8" s="479"/>
      <c r="AO8" s="477"/>
      <c r="AP8" s="477"/>
      <c r="AQ8" s="477"/>
      <c r="AR8" s="477"/>
      <c r="AS8" s="477"/>
      <c r="AT8" s="477"/>
      <c r="AU8" s="488"/>
      <c r="AV8" s="488"/>
      <c r="AW8" s="477"/>
      <c r="AX8" s="477"/>
      <c r="AY8" s="477"/>
      <c r="AZ8" s="477"/>
      <c r="BA8" s="477"/>
      <c r="BB8" s="488"/>
      <c r="BC8" s="477"/>
      <c r="BD8" s="488"/>
      <c r="BE8" s="489"/>
      <c r="BF8" s="489"/>
      <c r="BG8" s="489"/>
      <c r="BH8" s="490"/>
      <c r="BI8" s="491"/>
      <c r="BJ8" s="355"/>
      <c r="BK8" s="477"/>
      <c r="BL8" s="477"/>
      <c r="BM8" s="477"/>
      <c r="BN8" s="477"/>
      <c r="BO8" s="477"/>
      <c r="BP8" s="477"/>
      <c r="BQ8" s="477"/>
      <c r="BR8" s="477"/>
      <c r="BS8" s="488"/>
      <c r="BT8" s="477"/>
      <c r="BU8" s="488"/>
      <c r="BV8" s="477"/>
      <c r="BW8" s="492"/>
      <c r="BX8" s="493"/>
      <c r="BY8" s="477"/>
      <c r="BZ8" s="492"/>
      <c r="CA8" s="477"/>
      <c r="CB8" s="477"/>
      <c r="CC8" s="477"/>
      <c r="CD8" s="488"/>
      <c r="CE8" s="477"/>
      <c r="CF8" s="488"/>
      <c r="CG8" s="488"/>
      <c r="CH8" s="477"/>
      <c r="CI8" s="477"/>
      <c r="CJ8" s="494"/>
      <c r="CK8" s="477"/>
      <c r="CL8" s="477"/>
      <c r="CM8" s="477"/>
      <c r="CN8" s="477"/>
      <c r="CO8" s="488"/>
      <c r="CP8" s="488"/>
      <c r="CQ8" s="488"/>
      <c r="CR8" s="477"/>
      <c r="CS8" s="477"/>
      <c r="CT8" s="477"/>
      <c r="CU8" s="488"/>
      <c r="CV8" s="495"/>
      <c r="CW8" s="496"/>
      <c r="CX8" s="497"/>
      <c r="CY8" s="496"/>
      <c r="CZ8" s="497"/>
      <c r="DA8" s="497"/>
      <c r="DB8" s="498"/>
      <c r="DC8" s="495"/>
      <c r="DD8" s="496"/>
      <c r="DE8" s="496"/>
      <c r="DF8" s="499"/>
      <c r="DG8" s="496"/>
      <c r="DH8" s="496"/>
      <c r="DI8" s="497"/>
      <c r="DJ8" s="500"/>
      <c r="DK8" s="500"/>
      <c r="DL8" s="497"/>
      <c r="DM8" s="497"/>
      <c r="DN8" s="497"/>
      <c r="DO8" s="501"/>
      <c r="DP8" s="501"/>
      <c r="DQ8" s="501"/>
      <c r="DR8" s="501"/>
      <c r="DS8" s="501"/>
      <c r="DT8" s="501"/>
      <c r="DU8" s="501"/>
      <c r="DV8" s="502"/>
      <c r="DW8" s="501"/>
      <c r="DX8" s="501"/>
      <c r="DY8" s="501"/>
      <c r="DZ8" s="503"/>
      <c r="EA8" s="501"/>
      <c r="EB8" s="501"/>
      <c r="EC8" s="504"/>
      <c r="ED8" s="501"/>
      <c r="EE8" s="501"/>
      <c r="EF8" s="505"/>
      <c r="EG8" s="505"/>
      <c r="EH8" s="505"/>
      <c r="EI8" s="505"/>
      <c r="EJ8" s="505"/>
      <c r="EK8" s="505"/>
      <c r="EL8" s="505"/>
      <c r="EM8" s="506"/>
      <c r="EN8" s="507"/>
      <c r="EO8" s="507"/>
      <c r="EP8" s="507"/>
      <c r="EQ8" s="507"/>
      <c r="ER8" s="507"/>
      <c r="ES8" s="501"/>
      <c r="ET8" s="501"/>
      <c r="EU8" s="508"/>
      <c r="EV8" s="509"/>
      <c r="EW8" s="510"/>
      <c r="EX8" s="510"/>
      <c r="EY8" s="511"/>
      <c r="EZ8" s="511"/>
      <c r="FA8" s="511"/>
      <c r="FB8" s="511"/>
      <c r="FC8" s="497"/>
      <c r="FD8" s="497"/>
      <c r="FE8" s="497"/>
      <c r="FF8" s="497"/>
      <c r="FG8" s="497"/>
      <c r="FH8" s="497"/>
      <c r="FI8" s="497"/>
      <c r="FJ8" s="497"/>
      <c r="FK8" s="497"/>
      <c r="FL8" s="497"/>
      <c r="FM8" s="497"/>
      <c r="FN8" s="512"/>
      <c r="FO8" s="513"/>
      <c r="FP8" s="512"/>
      <c r="FQ8" s="513"/>
      <c r="FR8" s="513"/>
      <c r="FS8" s="514"/>
      <c r="FT8" s="515"/>
      <c r="FU8" s="512"/>
      <c r="FV8" s="512"/>
      <c r="FW8" s="512"/>
      <c r="FX8" s="512"/>
      <c r="FY8" s="512"/>
      <c r="FZ8" s="513"/>
      <c r="GA8" s="492"/>
      <c r="GB8" s="492"/>
      <c r="GC8" s="513"/>
      <c r="GD8" s="513"/>
      <c r="GE8" s="513"/>
      <c r="GF8" s="508"/>
      <c r="GG8" s="516"/>
      <c r="GH8" s="517"/>
      <c r="GI8" s="517"/>
      <c r="GJ8" s="517"/>
      <c r="GK8" s="517"/>
      <c r="GL8" s="517"/>
      <c r="GM8" s="517"/>
      <c r="GN8" s="497"/>
      <c r="GO8" s="497"/>
      <c r="GP8" s="497"/>
      <c r="GQ8" s="497"/>
      <c r="GR8" s="497"/>
      <c r="GS8" s="497"/>
      <c r="GT8" s="497"/>
      <c r="GU8" s="497"/>
      <c r="GV8" s="497"/>
      <c r="GW8" s="497"/>
      <c r="GX8" s="497"/>
    </row>
    <row r="9" spans="1:206" ht="15">
      <c r="A9" s="474"/>
      <c r="B9" s="475"/>
      <c r="C9" s="476"/>
      <c r="D9" s="476"/>
      <c r="E9" s="477"/>
      <c r="F9" s="476"/>
      <c r="G9" s="478"/>
      <c r="H9" s="479"/>
      <c r="I9" s="480"/>
      <c r="J9" s="479"/>
      <c r="K9" s="479"/>
      <c r="L9" s="479"/>
      <c r="M9" s="479"/>
      <c r="N9" s="479"/>
      <c r="O9" s="481"/>
      <c r="P9" s="477"/>
      <c r="Q9" s="482"/>
      <c r="R9" s="477"/>
      <c r="S9" s="477"/>
      <c r="T9" s="477"/>
      <c r="U9" s="477"/>
      <c r="V9" s="483"/>
      <c r="W9" s="483"/>
      <c r="X9" s="484"/>
      <c r="Y9" s="484"/>
      <c r="Z9" s="484"/>
      <c r="AA9" s="485"/>
      <c r="AB9" s="484"/>
      <c r="AC9" s="483"/>
      <c r="AD9" s="477"/>
      <c r="AE9" s="486"/>
      <c r="AF9" s="486"/>
      <c r="AG9" s="486"/>
      <c r="AH9" s="486"/>
      <c r="AI9" s="486"/>
      <c r="AJ9" s="479"/>
      <c r="AK9" s="487"/>
      <c r="AL9" s="487"/>
      <c r="AM9" s="487"/>
      <c r="AN9" s="479"/>
      <c r="AO9" s="477"/>
      <c r="AP9" s="477"/>
      <c r="AQ9" s="477"/>
      <c r="AR9" s="477"/>
      <c r="AS9" s="477"/>
      <c r="AT9" s="477"/>
      <c r="AU9" s="488"/>
      <c r="AV9" s="488"/>
      <c r="AW9" s="477"/>
      <c r="AX9" s="477"/>
      <c r="AY9" s="477"/>
      <c r="AZ9" s="477"/>
      <c r="BA9" s="477"/>
      <c r="BB9" s="488"/>
      <c r="BC9" s="477"/>
      <c r="BD9" s="488"/>
      <c r="BE9" s="489"/>
      <c r="BF9" s="489"/>
      <c r="BG9" s="489"/>
      <c r="BH9" s="490"/>
      <c r="BI9" s="491"/>
      <c r="BJ9" s="355"/>
      <c r="BK9" s="477"/>
      <c r="BL9" s="477"/>
      <c r="BM9" s="477"/>
      <c r="BN9" s="477"/>
      <c r="BO9" s="477"/>
      <c r="BP9" s="477"/>
      <c r="BQ9" s="477"/>
      <c r="BR9" s="477"/>
      <c r="BS9" s="488"/>
      <c r="BT9" s="477"/>
      <c r="BU9" s="488"/>
      <c r="BV9" s="477"/>
      <c r="BW9" s="492"/>
      <c r="BX9" s="493"/>
      <c r="BY9" s="477"/>
      <c r="BZ9" s="492"/>
      <c r="CA9" s="477"/>
      <c r="CB9" s="477"/>
      <c r="CC9" s="477"/>
      <c r="CD9" s="488"/>
      <c r="CE9" s="477"/>
      <c r="CF9" s="488"/>
      <c r="CG9" s="488"/>
      <c r="CH9" s="477"/>
      <c r="CI9" s="477"/>
      <c r="CJ9" s="494"/>
      <c r="CK9" s="477"/>
      <c r="CL9" s="477"/>
      <c r="CM9" s="477"/>
      <c r="CN9" s="477"/>
      <c r="CO9" s="488"/>
      <c r="CP9" s="488"/>
      <c r="CQ9" s="488"/>
      <c r="CR9" s="477"/>
      <c r="CS9" s="477"/>
      <c r="CT9" s="477"/>
      <c r="CU9" s="488"/>
      <c r="CV9" s="495"/>
      <c r="CW9" s="496"/>
      <c r="CX9" s="497"/>
      <c r="CY9" s="496"/>
      <c r="CZ9" s="497"/>
      <c r="DA9" s="497"/>
      <c r="DB9" s="498"/>
      <c r="DC9" s="495"/>
      <c r="DD9" s="496"/>
      <c r="DE9" s="496"/>
      <c r="DF9" s="499"/>
      <c r="DG9" s="496"/>
      <c r="DH9" s="496"/>
      <c r="DI9" s="497"/>
      <c r="DJ9" s="500"/>
      <c r="DK9" s="500"/>
      <c r="DL9" s="497"/>
      <c r="DM9" s="497"/>
      <c r="DN9" s="497"/>
      <c r="DO9" s="501"/>
      <c r="DP9" s="501"/>
      <c r="DQ9" s="501"/>
      <c r="DR9" s="501"/>
      <c r="DS9" s="501"/>
      <c r="DT9" s="501"/>
      <c r="DU9" s="501"/>
      <c r="DV9" s="502"/>
      <c r="DW9" s="501"/>
      <c r="DX9" s="501"/>
      <c r="DY9" s="501"/>
      <c r="DZ9" s="503"/>
      <c r="EA9" s="501"/>
      <c r="EB9" s="501"/>
      <c r="EC9" s="504"/>
      <c r="ED9" s="501"/>
      <c r="EE9" s="501"/>
      <c r="EF9" s="505"/>
      <c r="EG9" s="505"/>
      <c r="EH9" s="505"/>
      <c r="EI9" s="505"/>
      <c r="EJ9" s="505"/>
      <c r="EK9" s="505"/>
      <c r="EL9" s="505"/>
      <c r="EM9" s="506"/>
      <c r="EN9" s="507"/>
      <c r="EO9" s="507"/>
      <c r="EP9" s="507"/>
      <c r="EQ9" s="507"/>
      <c r="ER9" s="507"/>
      <c r="ES9" s="501"/>
      <c r="ET9" s="501"/>
      <c r="EU9" s="508"/>
      <c r="EV9" s="509"/>
      <c r="EW9" s="510"/>
      <c r="EX9" s="510"/>
      <c r="EY9" s="511"/>
      <c r="EZ9" s="511"/>
      <c r="FA9" s="511"/>
      <c r="FB9" s="511"/>
      <c r="FC9" s="497"/>
      <c r="FD9" s="497"/>
      <c r="FE9" s="497"/>
      <c r="FF9" s="497"/>
      <c r="FG9" s="497"/>
      <c r="FH9" s="497"/>
      <c r="FI9" s="497"/>
      <c r="FJ9" s="497"/>
      <c r="FK9" s="497"/>
      <c r="FL9" s="497"/>
      <c r="FM9" s="497"/>
      <c r="FN9" s="512"/>
      <c r="FO9" s="513"/>
      <c r="FP9" s="512"/>
      <c r="FQ9" s="513"/>
      <c r="FR9" s="513"/>
      <c r="FS9" s="514"/>
      <c r="FT9" s="515"/>
      <c r="FU9" s="512"/>
      <c r="FV9" s="512"/>
      <c r="FW9" s="512"/>
      <c r="FX9" s="512"/>
      <c r="FY9" s="512"/>
      <c r="FZ9" s="513"/>
      <c r="GA9" s="492"/>
      <c r="GB9" s="492"/>
      <c r="GC9" s="513"/>
      <c r="GD9" s="513"/>
      <c r="GE9" s="513"/>
      <c r="GF9" s="508"/>
      <c r="GG9" s="516"/>
      <c r="GH9" s="517"/>
      <c r="GI9" s="517"/>
      <c r="GJ9" s="517"/>
      <c r="GK9" s="517"/>
      <c r="GL9" s="517"/>
      <c r="GM9" s="517"/>
      <c r="GN9" s="497"/>
      <c r="GO9" s="497"/>
      <c r="GP9" s="497"/>
      <c r="GQ9" s="497"/>
      <c r="GR9" s="497"/>
      <c r="GS9" s="497"/>
      <c r="GT9" s="497"/>
      <c r="GU9" s="497"/>
      <c r="GV9" s="497"/>
      <c r="GW9" s="497"/>
      <c r="GX9" s="497"/>
    </row>
    <row r="10" spans="1:206" ht="15">
      <c r="A10" s="474"/>
      <c r="B10" s="475"/>
      <c r="C10" s="476"/>
      <c r="D10" s="476"/>
      <c r="E10" s="477"/>
      <c r="F10" s="476"/>
      <c r="G10" s="478"/>
      <c r="H10" s="479"/>
      <c r="I10" s="480"/>
      <c r="J10" s="479"/>
      <c r="K10" s="479"/>
      <c r="L10" s="479"/>
      <c r="M10" s="479"/>
      <c r="N10" s="479"/>
      <c r="O10" s="481"/>
      <c r="P10" s="477"/>
      <c r="Q10" s="482"/>
      <c r="R10" s="477"/>
      <c r="S10" s="477"/>
      <c r="T10" s="477"/>
      <c r="U10" s="477"/>
      <c r="V10" s="483"/>
      <c r="W10" s="483"/>
      <c r="X10" s="484"/>
      <c r="Y10" s="484"/>
      <c r="Z10" s="484"/>
      <c r="AA10" s="485"/>
      <c r="AB10" s="484"/>
      <c r="AC10" s="483"/>
      <c r="AD10" s="477"/>
      <c r="AE10" s="486"/>
      <c r="AF10" s="486"/>
      <c r="AG10" s="486"/>
      <c r="AH10" s="486"/>
      <c r="AI10" s="486"/>
      <c r="AJ10" s="479"/>
      <c r="AK10" s="487"/>
      <c r="AL10" s="487"/>
      <c r="AM10" s="487"/>
      <c r="AN10" s="479"/>
      <c r="AO10" s="477"/>
      <c r="AP10" s="477"/>
      <c r="AQ10" s="477"/>
      <c r="AR10" s="477"/>
      <c r="AS10" s="477"/>
      <c r="AT10" s="477"/>
      <c r="AU10" s="488"/>
      <c r="AV10" s="488"/>
      <c r="AW10" s="477"/>
      <c r="AX10" s="477"/>
      <c r="AY10" s="477"/>
      <c r="AZ10" s="477"/>
      <c r="BA10" s="477"/>
      <c r="BB10" s="488"/>
      <c r="BC10" s="477"/>
      <c r="BD10" s="488"/>
      <c r="BE10" s="489"/>
      <c r="BF10" s="489"/>
      <c r="BG10" s="489"/>
      <c r="BH10" s="490"/>
      <c r="BI10" s="491"/>
      <c r="BJ10" s="355"/>
      <c r="BK10" s="477"/>
      <c r="BL10" s="477"/>
      <c r="BM10" s="477"/>
      <c r="BN10" s="477"/>
      <c r="BO10" s="477"/>
      <c r="BP10" s="477"/>
      <c r="BQ10" s="477"/>
      <c r="BR10" s="477"/>
      <c r="BS10" s="488"/>
      <c r="BT10" s="477"/>
      <c r="BU10" s="488"/>
      <c r="BV10" s="477"/>
      <c r="BW10" s="492"/>
      <c r="BX10" s="493"/>
      <c r="BY10" s="477"/>
      <c r="BZ10" s="492"/>
      <c r="CA10" s="477"/>
      <c r="CB10" s="477"/>
      <c r="CC10" s="477"/>
      <c r="CD10" s="488"/>
      <c r="CE10" s="477"/>
      <c r="CF10" s="488"/>
      <c r="CG10" s="488"/>
      <c r="CH10" s="477"/>
      <c r="CI10" s="477"/>
      <c r="CJ10" s="494"/>
      <c r="CK10" s="477"/>
      <c r="CL10" s="477"/>
      <c r="CM10" s="477"/>
      <c r="CN10" s="477"/>
      <c r="CO10" s="488"/>
      <c r="CP10" s="488"/>
      <c r="CQ10" s="488"/>
      <c r="CR10" s="477"/>
      <c r="CS10" s="477"/>
      <c r="CT10" s="477"/>
      <c r="CU10" s="488"/>
      <c r="CV10" s="495"/>
      <c r="CW10" s="496"/>
      <c r="CX10" s="497"/>
      <c r="CY10" s="496"/>
      <c r="CZ10" s="497"/>
      <c r="DA10" s="497"/>
      <c r="DB10" s="498"/>
      <c r="DC10" s="495"/>
      <c r="DD10" s="496"/>
      <c r="DE10" s="496"/>
      <c r="DF10" s="499"/>
      <c r="DG10" s="496"/>
      <c r="DH10" s="496"/>
      <c r="DI10" s="497"/>
      <c r="DJ10" s="500"/>
      <c r="DK10" s="500"/>
      <c r="DL10" s="497"/>
      <c r="DM10" s="497"/>
      <c r="DN10" s="497"/>
      <c r="DO10" s="501"/>
      <c r="DP10" s="501"/>
      <c r="DQ10" s="501"/>
      <c r="DR10" s="501"/>
      <c r="DS10" s="501"/>
      <c r="DT10" s="501"/>
      <c r="DU10" s="501"/>
      <c r="DV10" s="502"/>
      <c r="DW10" s="501"/>
      <c r="DX10" s="501"/>
      <c r="DY10" s="501"/>
      <c r="DZ10" s="503"/>
      <c r="EA10" s="501"/>
      <c r="EB10" s="501"/>
      <c r="EC10" s="504"/>
      <c r="ED10" s="501"/>
      <c r="EE10" s="501"/>
      <c r="EF10" s="505"/>
      <c r="EG10" s="505"/>
      <c r="EH10" s="505"/>
      <c r="EI10" s="505"/>
      <c r="EJ10" s="505"/>
      <c r="EK10" s="505"/>
      <c r="EL10" s="505"/>
      <c r="EM10" s="506"/>
      <c r="EN10" s="507"/>
      <c r="EO10" s="507"/>
      <c r="EP10" s="507"/>
      <c r="EQ10" s="507"/>
      <c r="ER10" s="507"/>
      <c r="ES10" s="501"/>
      <c r="ET10" s="501"/>
      <c r="EU10" s="508"/>
      <c r="EV10" s="509"/>
      <c r="EW10" s="510"/>
      <c r="EX10" s="510"/>
      <c r="EY10" s="511"/>
      <c r="EZ10" s="511"/>
      <c r="FA10" s="511"/>
      <c r="FB10" s="511"/>
      <c r="FC10" s="497"/>
      <c r="FD10" s="497"/>
      <c r="FE10" s="497"/>
      <c r="FF10" s="497"/>
      <c r="FG10" s="497"/>
      <c r="FH10" s="497"/>
      <c r="FI10" s="497"/>
      <c r="FJ10" s="497"/>
      <c r="FK10" s="497"/>
      <c r="FL10" s="497"/>
      <c r="FM10" s="497"/>
      <c r="FN10" s="512"/>
      <c r="FO10" s="513"/>
      <c r="FP10" s="512"/>
      <c r="FQ10" s="513"/>
      <c r="FR10" s="513"/>
      <c r="FS10" s="514"/>
      <c r="FT10" s="515"/>
      <c r="FU10" s="512"/>
      <c r="FV10" s="512"/>
      <c r="FW10" s="512"/>
      <c r="FX10" s="512"/>
      <c r="FY10" s="512"/>
      <c r="FZ10" s="513"/>
      <c r="GA10" s="492"/>
      <c r="GB10" s="492"/>
      <c r="GC10" s="513"/>
      <c r="GD10" s="513"/>
      <c r="GE10" s="513"/>
      <c r="GF10" s="508"/>
      <c r="GG10" s="516"/>
      <c r="GH10" s="517"/>
      <c r="GI10" s="517"/>
      <c r="GJ10" s="517"/>
      <c r="GK10" s="517"/>
      <c r="GL10" s="517"/>
      <c r="GM10" s="517"/>
      <c r="GN10" s="497"/>
      <c r="GO10" s="497"/>
      <c r="GP10" s="497"/>
      <c r="GQ10" s="497"/>
      <c r="GR10" s="497"/>
      <c r="GS10" s="497"/>
      <c r="GT10" s="497"/>
      <c r="GU10" s="497"/>
      <c r="GV10" s="497"/>
      <c r="GW10" s="497"/>
      <c r="GX10" s="497"/>
    </row>
    <row r="11" spans="1:206" ht="15.75" thickBot="1">
      <c r="A11" s="474"/>
      <c r="B11" s="475"/>
      <c r="C11" s="476"/>
      <c r="D11" s="476"/>
      <c r="E11" s="477"/>
      <c r="F11" s="476"/>
      <c r="G11" s="478"/>
      <c r="H11" s="479"/>
      <c r="I11" s="480"/>
      <c r="J11" s="479"/>
      <c r="K11" s="479"/>
      <c r="L11" s="479"/>
      <c r="M11" s="479"/>
      <c r="N11" s="479"/>
      <c r="O11" s="481"/>
      <c r="P11" s="477"/>
      <c r="Q11" s="482"/>
      <c r="R11" s="477"/>
      <c r="S11" s="477"/>
      <c r="T11" s="477"/>
      <c r="U11" s="477"/>
      <c r="V11" s="483"/>
      <c r="W11" s="483"/>
      <c r="X11" s="484"/>
      <c r="Y11" s="484"/>
      <c r="Z11" s="484"/>
      <c r="AA11" s="485"/>
      <c r="AB11" s="484"/>
      <c r="AC11" s="483"/>
      <c r="AD11" s="477"/>
      <c r="AE11" s="486"/>
      <c r="AF11" s="486"/>
      <c r="AG11" s="486"/>
      <c r="AH11" s="486"/>
      <c r="AI11" s="486"/>
      <c r="AJ11" s="479"/>
      <c r="AK11" s="487"/>
      <c r="AL11" s="487"/>
      <c r="AM11" s="487"/>
      <c r="AN11" s="479"/>
      <c r="AO11" s="477"/>
      <c r="AP11" s="477"/>
      <c r="AQ11" s="477"/>
      <c r="AR11" s="477"/>
      <c r="AS11" s="477"/>
      <c r="AT11" s="477"/>
      <c r="AU11" s="488"/>
      <c r="AV11" s="488"/>
      <c r="AW11" s="477"/>
      <c r="AX11" s="477"/>
      <c r="AY11" s="477"/>
      <c r="AZ11" s="477"/>
      <c r="BA11" s="477"/>
      <c r="BB11" s="488"/>
      <c r="BC11" s="477"/>
      <c r="BD11" s="488"/>
      <c r="BE11" s="489"/>
      <c r="BF11" s="489"/>
      <c r="BG11" s="489"/>
      <c r="BH11" s="490"/>
      <c r="BI11" s="491"/>
      <c r="BJ11" s="355"/>
      <c r="BK11" s="477"/>
      <c r="BL11" s="477"/>
      <c r="BM11" s="477"/>
      <c r="BN11" s="477"/>
      <c r="BO11" s="477"/>
      <c r="BP11" s="477"/>
      <c r="BQ11" s="477"/>
      <c r="BR11" s="477"/>
      <c r="BS11" s="488"/>
      <c r="BT11" s="477"/>
      <c r="BU11" s="488"/>
      <c r="BV11" s="477"/>
      <c r="BW11" s="492"/>
      <c r="BX11" s="493"/>
      <c r="BY11" s="477"/>
      <c r="BZ11" s="492"/>
      <c r="CA11" s="477"/>
      <c r="CB11" s="477"/>
      <c r="CC11" s="477"/>
      <c r="CD11" s="488"/>
      <c r="CE11" s="477"/>
      <c r="CF11" s="488"/>
      <c r="CG11" s="488"/>
      <c r="CH11" s="477"/>
      <c r="CI11" s="477"/>
      <c r="CJ11" s="494"/>
      <c r="CK11" s="477"/>
      <c r="CL11" s="477"/>
      <c r="CM11" s="477"/>
      <c r="CN11" s="477"/>
      <c r="CO11" s="488"/>
      <c r="CP11" s="488"/>
      <c r="CQ11" s="488"/>
      <c r="CR11" s="477"/>
      <c r="CS11" s="477"/>
      <c r="CT11" s="477"/>
      <c r="CU11" s="488"/>
      <c r="CV11" s="495"/>
      <c r="CW11" s="496"/>
      <c r="CX11" s="497"/>
      <c r="CY11" s="496"/>
      <c r="CZ11" s="497"/>
      <c r="DA11" s="497"/>
      <c r="DB11" s="498"/>
      <c r="DC11" s="495"/>
      <c r="DD11" s="496"/>
      <c r="DE11" s="496"/>
      <c r="DF11" s="499"/>
      <c r="DG11" s="496"/>
      <c r="DH11" s="496"/>
      <c r="DI11" s="497"/>
      <c r="DJ11" s="500"/>
      <c r="DK11" s="500"/>
      <c r="DL11" s="497"/>
      <c r="DM11" s="497"/>
      <c r="DN11" s="497"/>
      <c r="DO11" s="501"/>
      <c r="DP11" s="501"/>
      <c r="DQ11" s="501"/>
      <c r="DR11" s="501"/>
      <c r="DS11" s="501"/>
      <c r="DT11" s="501"/>
      <c r="DU11" s="501"/>
      <c r="DV11" s="502"/>
      <c r="DW11" s="501"/>
      <c r="DX11" s="501"/>
      <c r="DY11" s="501"/>
      <c r="DZ11" s="503"/>
      <c r="EA11" s="501"/>
      <c r="EB11" s="501"/>
      <c r="EC11" s="504"/>
      <c r="ED11" s="501"/>
      <c r="EE11" s="501"/>
      <c r="EF11" s="505"/>
      <c r="EG11" s="505"/>
      <c r="EH11" s="505"/>
      <c r="EI11" s="505"/>
      <c r="EJ11" s="505"/>
      <c r="EK11" s="505"/>
      <c r="EL11" s="505"/>
      <c r="EM11" s="506"/>
      <c r="EN11" s="507"/>
      <c r="EO11" s="507"/>
      <c r="EP11" s="507"/>
      <c r="EQ11" s="507"/>
      <c r="ER11" s="507"/>
      <c r="ES11" s="501"/>
      <c r="ET11" s="501"/>
      <c r="EU11" s="508"/>
      <c r="EV11" s="509"/>
      <c r="EW11" s="510"/>
      <c r="EX11" s="510"/>
      <c r="EY11" s="511"/>
      <c r="EZ11" s="511"/>
      <c r="FA11" s="511"/>
      <c r="FB11" s="511"/>
      <c r="FC11" s="497"/>
      <c r="FD11" s="497"/>
      <c r="FE11" s="497"/>
      <c r="FF11" s="497"/>
      <c r="FG11" s="497"/>
      <c r="FH11" s="497"/>
      <c r="FI11" s="497"/>
      <c r="FJ11" s="497"/>
      <c r="FK11" s="497"/>
      <c r="FL11" s="497"/>
      <c r="FM11" s="497"/>
      <c r="FN11" s="512"/>
      <c r="FO11" s="513"/>
      <c r="FP11" s="512"/>
      <c r="FQ11" s="513"/>
      <c r="FR11" s="513"/>
      <c r="FS11" s="514"/>
      <c r="FT11" s="515"/>
      <c r="FU11" s="512"/>
      <c r="FV11" s="512"/>
      <c r="FW11" s="512"/>
      <c r="FX11" s="512"/>
      <c r="FY11" s="512"/>
      <c r="FZ11" s="513"/>
      <c r="GA11" s="492"/>
      <c r="GB11" s="492"/>
      <c r="GC11" s="513"/>
      <c r="GD11" s="513"/>
      <c r="GE11" s="513"/>
      <c r="GF11" s="508"/>
      <c r="GG11" s="516"/>
      <c r="GH11" s="517"/>
      <c r="GI11" s="517"/>
      <c r="GJ11" s="517"/>
      <c r="GK11" s="517"/>
      <c r="GL11" s="517"/>
      <c r="GM11" s="517"/>
      <c r="GN11" s="497"/>
      <c r="GO11" s="497"/>
      <c r="GP11" s="497"/>
      <c r="GQ11" s="497"/>
      <c r="GR11" s="497"/>
      <c r="GS11" s="497"/>
      <c r="GT11" s="497"/>
      <c r="GU11" s="497"/>
      <c r="GV11" s="497"/>
      <c r="GW11" s="497"/>
      <c r="GX11" s="497"/>
    </row>
    <row r="12" spans="1:206" ht="15.75" thickBot="1">
      <c r="AC12" s="554" t="s">
        <v>377</v>
      </c>
      <c r="AD12" s="555"/>
      <c r="AE12" s="447">
        <f t="shared" ref="AE12:BI12" si="3">SUM(AE7)</f>
        <v>0</v>
      </c>
      <c r="AF12" s="445">
        <f t="shared" si="3"/>
        <v>0</v>
      </c>
      <c r="AG12" s="445">
        <f t="shared" si="3"/>
        <v>0</v>
      </c>
      <c r="AH12" s="445">
        <f t="shared" si="3"/>
        <v>0</v>
      </c>
      <c r="AI12" s="445">
        <f t="shared" si="3"/>
        <v>6.6555</v>
      </c>
      <c r="AJ12" s="445">
        <f t="shared" si="3"/>
        <v>0</v>
      </c>
      <c r="AK12" s="445">
        <f t="shared" si="3"/>
        <v>0</v>
      </c>
      <c r="AL12" s="445">
        <f t="shared" si="3"/>
        <v>0</v>
      </c>
      <c r="AM12" s="445">
        <f t="shared" si="3"/>
        <v>0</v>
      </c>
      <c r="AN12" s="445">
        <f t="shared" si="3"/>
        <v>0</v>
      </c>
      <c r="AO12" s="445">
        <f t="shared" si="3"/>
        <v>0</v>
      </c>
      <c r="AP12" s="445">
        <f t="shared" si="3"/>
        <v>0</v>
      </c>
      <c r="AQ12" s="445">
        <f t="shared" si="3"/>
        <v>0</v>
      </c>
      <c r="AR12" s="445">
        <f t="shared" si="3"/>
        <v>0</v>
      </c>
      <c r="AS12" s="445">
        <f t="shared" si="3"/>
        <v>0</v>
      </c>
      <c r="AT12" s="445">
        <f t="shared" si="3"/>
        <v>0</v>
      </c>
      <c r="AU12" s="446" t="e">
        <f t="shared" si="3"/>
        <v>#REF!</v>
      </c>
      <c r="AV12" s="445" t="e">
        <f t="shared" si="3"/>
        <v>#REF!</v>
      </c>
      <c r="AW12" s="445">
        <f t="shared" si="3"/>
        <v>12.903499999999999</v>
      </c>
      <c r="AX12" s="445">
        <f t="shared" si="3"/>
        <v>0</v>
      </c>
      <c r="AY12" s="445">
        <f t="shared" si="3"/>
        <v>1437.3907999999999</v>
      </c>
      <c r="AZ12" s="445">
        <f t="shared" si="3"/>
        <v>0</v>
      </c>
      <c r="BA12" s="445">
        <f t="shared" si="3"/>
        <v>1437.3907999999999</v>
      </c>
      <c r="BB12" s="445" t="e">
        <f t="shared" si="3"/>
        <v>#REF!</v>
      </c>
      <c r="BC12" s="445" t="e">
        <f t="shared" si="3"/>
        <v>#REF!</v>
      </c>
      <c r="BD12" s="445" t="e">
        <f t="shared" si="3"/>
        <v>#REF!</v>
      </c>
      <c r="BE12" s="445">
        <f t="shared" si="3"/>
        <v>60</v>
      </c>
      <c r="BF12" s="445">
        <f t="shared" si="3"/>
        <v>0</v>
      </c>
      <c r="BG12" s="445">
        <f t="shared" si="3"/>
        <v>0</v>
      </c>
      <c r="BH12" s="445">
        <f t="shared" si="3"/>
        <v>0</v>
      </c>
      <c r="BI12" s="445">
        <f t="shared" si="3"/>
        <v>0</v>
      </c>
      <c r="BJ12" s="355"/>
      <c r="BK12" s="278"/>
      <c r="BL12" s="278"/>
      <c r="BM12" s="278"/>
      <c r="BN12" s="278"/>
      <c r="BO12" s="278"/>
      <c r="BP12" s="278"/>
      <c r="BQ12" s="278"/>
      <c r="BR12" s="278"/>
      <c r="BS12" s="278"/>
      <c r="BT12" s="278"/>
      <c r="BU12" s="278"/>
      <c r="BV12" s="278"/>
      <c r="BW12" s="278"/>
      <c r="BX12" s="278"/>
      <c r="BY12" s="278"/>
      <c r="BZ12" s="278"/>
      <c r="CA12" s="278"/>
      <c r="CB12" s="278"/>
      <c r="CC12" s="278"/>
      <c r="CD12" s="278"/>
      <c r="CE12" s="278"/>
      <c r="CF12" s="278"/>
      <c r="CG12" s="278"/>
      <c r="CH12" s="278"/>
      <c r="CI12" s="278"/>
      <c r="CJ12" s="278"/>
      <c r="CK12" s="278"/>
      <c r="CL12" s="278"/>
      <c r="CM12" s="278"/>
      <c r="CN12" s="278"/>
      <c r="CO12" s="278"/>
      <c r="CP12" s="278"/>
      <c r="CQ12" s="278"/>
      <c r="CR12" s="278"/>
      <c r="CS12" s="278"/>
      <c r="CT12" s="278"/>
      <c r="CU12" s="278"/>
      <c r="CV12" s="278"/>
      <c r="CW12" s="278"/>
      <c r="CX12" s="278"/>
      <c r="CY12" s="278"/>
      <c r="CZ12" s="278"/>
      <c r="DA12" s="278"/>
      <c r="DB12" s="278"/>
      <c r="DC12" s="278"/>
      <c r="DD12" s="278"/>
      <c r="DE12" s="278"/>
      <c r="DF12" s="278"/>
      <c r="DG12" s="278"/>
      <c r="DH12" s="278"/>
      <c r="DI12" s="278"/>
      <c r="DJ12" s="278"/>
      <c r="DK12" s="278"/>
      <c r="DL12" s="278"/>
      <c r="DM12" s="278"/>
      <c r="DN12" s="278"/>
      <c r="DO12" s="278"/>
      <c r="DP12" s="278"/>
      <c r="DQ12" s="278"/>
      <c r="DR12" s="278"/>
      <c r="DS12" s="278"/>
      <c r="DT12" s="278"/>
      <c r="DU12" s="278"/>
      <c r="DV12" s="278"/>
      <c r="DW12" s="278"/>
      <c r="DX12" s="278"/>
      <c r="DY12" s="278"/>
      <c r="DZ12" s="278"/>
      <c r="EA12" s="278"/>
      <c r="EB12" s="278"/>
      <c r="EC12" s="278"/>
      <c r="ED12" s="278"/>
      <c r="EE12" s="278"/>
      <c r="EF12" s="278"/>
      <c r="EG12" s="278"/>
      <c r="EH12" s="278"/>
      <c r="EI12" s="278"/>
      <c r="EJ12" s="278"/>
      <c r="EK12" s="278"/>
      <c r="EL12" s="278"/>
      <c r="EM12" s="278"/>
      <c r="EN12" s="278"/>
      <c r="EO12" s="278"/>
      <c r="EP12" s="278"/>
      <c r="EQ12" s="278"/>
      <c r="ER12" s="278"/>
      <c r="ES12" s="278"/>
      <c r="ET12" s="278"/>
      <c r="EU12" s="277"/>
      <c r="EV12" s="278"/>
      <c r="EW12" s="278"/>
      <c r="EX12" s="278"/>
      <c r="EY12" s="278"/>
      <c r="EZ12" s="278"/>
      <c r="FA12" s="277"/>
      <c r="FB12" s="278"/>
      <c r="FC12" s="278"/>
      <c r="FD12" s="278"/>
      <c r="FE12" s="278"/>
      <c r="FF12" s="278"/>
      <c r="FG12" s="278"/>
      <c r="FH12" s="277"/>
      <c r="FI12" s="278"/>
      <c r="FJ12" s="278"/>
      <c r="FK12" s="278"/>
      <c r="FL12" s="278"/>
      <c r="FM12" s="278"/>
      <c r="FN12" s="278"/>
      <c r="FO12" s="278"/>
      <c r="FP12" s="278"/>
      <c r="FQ12" s="278"/>
      <c r="FR12" s="278"/>
      <c r="FS12" s="278"/>
      <c r="FT12" s="278"/>
      <c r="FU12" s="278"/>
      <c r="FV12" s="278"/>
      <c r="FW12" s="278"/>
      <c r="FX12" s="278"/>
      <c r="FY12" s="278"/>
      <c r="FZ12" s="278"/>
      <c r="GA12" s="278"/>
      <c r="GB12" s="278"/>
      <c r="GC12" s="278"/>
      <c r="GD12" s="278"/>
      <c r="GE12" s="278"/>
      <c r="GF12" s="278"/>
      <c r="GG12" s="278"/>
      <c r="GH12" s="278"/>
      <c r="GI12" s="278"/>
      <c r="GJ12" s="278"/>
      <c r="GK12" s="278"/>
      <c r="GL12" s="278"/>
      <c r="GM12" s="278"/>
      <c r="GN12" s="278"/>
      <c r="GO12" s="278"/>
    </row>
    <row r="13" spans="1:206" ht="15">
      <c r="A13" s="275"/>
      <c r="BJ13" s="355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76"/>
      <c r="CC13" s="276"/>
      <c r="CD13" s="276"/>
      <c r="CE13" s="276"/>
      <c r="CF13" s="276"/>
      <c r="CG13" s="276"/>
      <c r="CH13" s="276"/>
      <c r="CI13" s="276"/>
      <c r="CJ13" s="276"/>
      <c r="CK13" s="276"/>
      <c r="CL13" s="276"/>
      <c r="CM13" s="276"/>
      <c r="CN13" s="276"/>
      <c r="CO13" s="276"/>
      <c r="CP13" s="276"/>
      <c r="CQ13" s="276"/>
      <c r="CR13" s="276"/>
      <c r="CS13" s="276"/>
      <c r="CT13" s="276"/>
      <c r="CU13" s="276"/>
      <c r="CV13" s="276"/>
      <c r="CW13" s="276"/>
      <c r="CX13" s="276"/>
      <c r="CY13" s="276"/>
      <c r="CZ13" s="276"/>
      <c r="DA13" s="276"/>
      <c r="DB13" s="276"/>
      <c r="DC13" s="276"/>
      <c r="DD13" s="276"/>
      <c r="DE13" s="276"/>
      <c r="DF13" s="276"/>
      <c r="DG13" s="276"/>
      <c r="DH13" s="276"/>
      <c r="DI13" s="276"/>
      <c r="DJ13" s="276"/>
      <c r="DK13" s="276"/>
      <c r="DL13" s="276"/>
      <c r="DM13" s="276"/>
      <c r="DN13" s="276"/>
      <c r="DO13" s="276"/>
      <c r="DP13" s="276"/>
      <c r="DQ13" s="276"/>
      <c r="DR13" s="276"/>
      <c r="DS13" s="276"/>
      <c r="DT13" s="276"/>
      <c r="DU13" s="276"/>
      <c r="DV13" s="276"/>
      <c r="DW13" s="276"/>
      <c r="DX13" s="276"/>
      <c r="DY13" s="276"/>
      <c r="DZ13" s="276"/>
      <c r="EA13" s="276"/>
      <c r="EB13" s="276"/>
      <c r="EC13" s="276"/>
      <c r="ED13" s="276"/>
      <c r="EE13" s="276"/>
      <c r="EF13" s="276"/>
      <c r="EG13" s="276"/>
      <c r="EH13" s="276"/>
      <c r="EI13" s="276"/>
      <c r="EJ13" s="276"/>
      <c r="EK13" s="276"/>
      <c r="EL13" s="276"/>
      <c r="EM13" s="276"/>
      <c r="EN13" s="276"/>
      <c r="EO13" s="276"/>
      <c r="EP13" s="276"/>
      <c r="EQ13" s="276"/>
      <c r="ER13" s="276"/>
      <c r="ES13" s="276"/>
      <c r="ET13" s="276"/>
      <c r="EU13" s="276"/>
      <c r="EV13" s="276"/>
      <c r="EW13" s="276"/>
      <c r="EX13" s="276"/>
      <c r="EY13" s="276"/>
      <c r="EZ13" s="276"/>
      <c r="FA13" s="276"/>
      <c r="FB13" s="276"/>
      <c r="FC13" s="276"/>
      <c r="FD13" s="276"/>
      <c r="FE13" s="276"/>
      <c r="FF13" s="276"/>
      <c r="FG13" s="276"/>
      <c r="FH13" s="276"/>
      <c r="FI13" s="276"/>
      <c r="FJ13" s="276"/>
      <c r="FK13" s="276"/>
      <c r="FL13" s="276"/>
      <c r="FM13" s="276"/>
      <c r="FN13" s="276"/>
      <c r="FO13" s="276"/>
      <c r="FP13" s="276"/>
      <c r="FQ13" s="276"/>
      <c r="FR13" s="276"/>
      <c r="FS13" s="276"/>
      <c r="FT13" s="276"/>
      <c r="FU13" s="276"/>
      <c r="FV13" s="276"/>
      <c r="FW13" s="276"/>
      <c r="FX13" s="276"/>
      <c r="FY13" s="276"/>
      <c r="FZ13" s="276"/>
      <c r="GA13" s="276"/>
      <c r="GB13" s="276"/>
      <c r="GC13" s="276"/>
      <c r="GD13" s="276"/>
      <c r="GE13" s="276"/>
      <c r="GF13" s="276"/>
      <c r="GG13" s="276"/>
      <c r="GH13" s="276"/>
      <c r="GI13" s="276"/>
      <c r="GJ13" s="276"/>
      <c r="GK13" s="276"/>
      <c r="GL13" s="276"/>
      <c r="GM13" s="276"/>
      <c r="GN13" s="276"/>
      <c r="GO13" s="276"/>
      <c r="GP13" s="276"/>
      <c r="GQ13" s="276"/>
    </row>
    <row r="14" spans="1:206" ht="15">
      <c r="A14" s="275"/>
      <c r="BJ14" s="355"/>
      <c r="BK14" s="276"/>
      <c r="BL14" s="276"/>
      <c r="BM14" s="276"/>
      <c r="BN14" s="276"/>
      <c r="BO14" s="276"/>
      <c r="BP14" s="276"/>
      <c r="BQ14" s="276"/>
      <c r="BR14" s="276"/>
      <c r="BS14" s="276"/>
      <c r="BT14" s="276"/>
      <c r="BU14" s="276"/>
      <c r="BV14" s="276"/>
      <c r="BW14" s="276"/>
      <c r="BX14" s="276"/>
      <c r="BY14" s="276"/>
      <c r="BZ14" s="276"/>
      <c r="CA14" s="276"/>
      <c r="CB14" s="276"/>
      <c r="CC14" s="276"/>
      <c r="CD14" s="276"/>
      <c r="CE14" s="276"/>
      <c r="CF14" s="276"/>
      <c r="CG14" s="276"/>
      <c r="CH14" s="276"/>
      <c r="CI14" s="276"/>
      <c r="CJ14" s="276"/>
      <c r="CK14" s="276"/>
      <c r="CL14" s="276"/>
      <c r="CM14" s="276"/>
      <c r="CN14" s="276"/>
      <c r="CO14" s="276"/>
      <c r="CP14" s="276"/>
      <c r="CQ14" s="276"/>
      <c r="CR14" s="276"/>
      <c r="CS14" s="276"/>
      <c r="CT14" s="276"/>
      <c r="CU14" s="276"/>
      <c r="CV14" s="276"/>
      <c r="CW14" s="276"/>
      <c r="CX14" s="276"/>
      <c r="CY14" s="276"/>
      <c r="CZ14" s="276"/>
      <c r="DA14" s="276"/>
      <c r="DB14" s="276"/>
      <c r="DC14" s="276"/>
      <c r="DD14" s="276"/>
      <c r="DE14" s="276"/>
      <c r="DF14" s="276"/>
      <c r="DG14" s="276"/>
      <c r="DH14" s="276"/>
      <c r="DI14" s="276"/>
      <c r="DJ14" s="276"/>
      <c r="DK14" s="276"/>
      <c r="DL14" s="276"/>
      <c r="DM14" s="276"/>
      <c r="DN14" s="276"/>
      <c r="DO14" s="276"/>
      <c r="DP14" s="276"/>
      <c r="DQ14" s="276"/>
      <c r="DR14" s="276"/>
      <c r="DS14" s="276"/>
      <c r="DT14" s="276"/>
      <c r="DU14" s="276"/>
      <c r="DV14" s="276"/>
      <c r="DW14" s="276"/>
      <c r="DX14" s="276"/>
      <c r="DY14" s="276"/>
      <c r="DZ14" s="276"/>
      <c r="EA14" s="276"/>
      <c r="EB14" s="276"/>
      <c r="EC14" s="276"/>
      <c r="ED14" s="276"/>
      <c r="EE14" s="276"/>
      <c r="EF14" s="276"/>
      <c r="EG14" s="276"/>
      <c r="EH14" s="276"/>
      <c r="EI14" s="276"/>
      <c r="EJ14" s="276"/>
      <c r="EK14" s="276"/>
      <c r="EL14" s="276"/>
      <c r="EM14" s="276"/>
      <c r="EN14" s="276"/>
      <c r="EO14" s="276"/>
      <c r="EP14" s="276"/>
      <c r="EQ14" s="276"/>
      <c r="ER14" s="276"/>
      <c r="ES14" s="276"/>
      <c r="ET14" s="276"/>
      <c r="EU14" s="276"/>
      <c r="EV14" s="276"/>
      <c r="EW14" s="276"/>
      <c r="EX14" s="276"/>
      <c r="EY14" s="276"/>
      <c r="EZ14" s="276"/>
      <c r="FA14" s="276"/>
      <c r="FB14" s="276"/>
      <c r="FC14" s="276"/>
      <c r="FD14" s="276"/>
      <c r="FE14" s="276"/>
      <c r="FF14" s="276"/>
      <c r="FG14" s="276"/>
      <c r="FH14" s="276"/>
      <c r="FI14" s="276"/>
      <c r="FJ14" s="276"/>
      <c r="FK14" s="276"/>
      <c r="FL14" s="276"/>
      <c r="FM14" s="276"/>
      <c r="FN14" s="276"/>
      <c r="FO14" s="276"/>
      <c r="FP14" s="276"/>
      <c r="FQ14" s="276"/>
      <c r="FR14" s="276"/>
      <c r="FS14" s="276"/>
      <c r="FT14" s="276"/>
      <c r="FU14" s="276"/>
      <c r="FV14" s="276"/>
      <c r="FW14" s="276"/>
      <c r="FX14" s="276"/>
      <c r="FY14" s="276"/>
      <c r="FZ14" s="276"/>
      <c r="GA14" s="276"/>
      <c r="GB14" s="276"/>
      <c r="GC14" s="276"/>
      <c r="GD14" s="276"/>
      <c r="GE14" s="276"/>
      <c r="GF14" s="276"/>
      <c r="GG14" s="276"/>
      <c r="GH14" s="276"/>
      <c r="GI14" s="276"/>
      <c r="GJ14" s="276"/>
      <c r="GK14" s="276"/>
      <c r="GL14" s="276"/>
      <c r="GM14" s="276"/>
      <c r="GN14" s="276"/>
      <c r="GO14" s="276"/>
      <c r="GP14" s="276"/>
      <c r="GQ14" s="276"/>
    </row>
    <row r="15" spans="1:206" ht="15">
      <c r="BJ15" s="355"/>
      <c r="BK15" s="279"/>
      <c r="BL15" s="279"/>
      <c r="BM15" s="280"/>
      <c r="BN15" s="280"/>
      <c r="BO15" s="280"/>
      <c r="BP15" s="280"/>
      <c r="BQ15" s="280"/>
      <c r="BR15" s="280"/>
      <c r="BS15" s="280"/>
      <c r="BT15" s="280"/>
      <c r="BU15" s="280"/>
      <c r="BV15" s="280"/>
      <c r="BW15" s="280"/>
      <c r="BX15" s="280"/>
      <c r="BY15" s="280"/>
      <c r="BZ15" s="280"/>
      <c r="CA15" s="280"/>
      <c r="CB15" s="280"/>
      <c r="CC15" s="280"/>
      <c r="CD15" s="280"/>
      <c r="CE15" s="280"/>
      <c r="CF15" s="280"/>
      <c r="CG15" s="280"/>
      <c r="CH15" s="280"/>
      <c r="CI15" s="280"/>
      <c r="CJ15" s="280"/>
      <c r="CK15" s="280"/>
      <c r="CL15" s="280"/>
      <c r="CM15" s="280"/>
      <c r="CN15" s="280"/>
      <c r="CO15" s="280"/>
      <c r="CP15" s="280"/>
      <c r="CQ15" s="280"/>
      <c r="CR15" s="280"/>
      <c r="CS15" s="280"/>
      <c r="CT15" s="280"/>
      <c r="CU15" s="280"/>
      <c r="CV15" s="280"/>
      <c r="CW15" s="280"/>
      <c r="CX15" s="280"/>
      <c r="CY15" s="280"/>
      <c r="CZ15" s="280"/>
      <c r="DA15" s="280"/>
      <c r="DB15" s="280"/>
      <c r="DC15" s="280"/>
      <c r="DD15" s="280"/>
      <c r="DE15" s="280"/>
      <c r="DF15" s="280"/>
      <c r="DG15" s="280"/>
      <c r="DH15" s="280"/>
      <c r="DI15" s="280"/>
      <c r="DJ15" s="280"/>
      <c r="DK15" s="280"/>
      <c r="DL15" s="280"/>
      <c r="DM15" s="280"/>
      <c r="DN15" s="280"/>
      <c r="DO15" s="280"/>
      <c r="DP15" s="280"/>
      <c r="DQ15" s="280"/>
      <c r="DR15" s="280"/>
      <c r="DS15" s="280"/>
      <c r="DT15" s="280"/>
      <c r="DU15" s="280"/>
      <c r="DV15" s="280"/>
      <c r="DW15" s="280"/>
      <c r="DX15" s="280"/>
      <c r="DY15" s="280"/>
      <c r="DZ15" s="280"/>
      <c r="EA15" s="280"/>
      <c r="EB15" s="280"/>
      <c r="EC15" s="280"/>
      <c r="ED15" s="280"/>
      <c r="EE15" s="280"/>
      <c r="EF15" s="280"/>
      <c r="EG15" s="280"/>
      <c r="EH15" s="280"/>
      <c r="EI15" s="280"/>
      <c r="EJ15" s="280"/>
      <c r="EK15" s="280"/>
      <c r="EL15" s="280"/>
      <c r="EM15" s="280"/>
      <c r="EN15" s="280"/>
      <c r="EO15" s="280"/>
      <c r="EP15" s="280"/>
      <c r="EQ15" s="280"/>
      <c r="ER15" s="280"/>
      <c r="ES15" s="280"/>
      <c r="ET15" s="280"/>
      <c r="EU15" s="280"/>
      <c r="EV15" s="280"/>
      <c r="EW15" s="280"/>
      <c r="EX15" s="280"/>
      <c r="EY15" s="280"/>
      <c r="EZ15" s="280"/>
      <c r="FA15" s="280"/>
      <c r="FB15" s="280"/>
      <c r="FC15" s="280"/>
      <c r="FD15" s="280"/>
      <c r="FE15" s="280"/>
      <c r="FF15" s="280"/>
      <c r="FG15" s="280"/>
      <c r="FH15" s="280"/>
      <c r="FI15" s="280"/>
      <c r="FJ15" s="280"/>
      <c r="FK15" s="280"/>
      <c r="FL15" s="280"/>
      <c r="FM15" s="280"/>
      <c r="FN15" s="280"/>
      <c r="FO15" s="280"/>
      <c r="FP15" s="280"/>
      <c r="FQ15" s="280"/>
      <c r="FR15" s="280"/>
      <c r="FS15" s="280"/>
      <c r="FT15" s="280"/>
      <c r="FU15" s="280"/>
      <c r="FV15" s="280"/>
      <c r="FW15" s="280"/>
      <c r="FX15" s="280"/>
      <c r="FY15" s="280"/>
      <c r="FZ15" s="280"/>
      <c r="GA15" s="280"/>
      <c r="GB15" s="280"/>
      <c r="GC15" s="280"/>
      <c r="GD15" s="280"/>
      <c r="GE15" s="280"/>
      <c r="GF15" s="280"/>
      <c r="GG15" s="280"/>
      <c r="GH15" s="280"/>
      <c r="GI15" s="280"/>
      <c r="GJ15" s="280"/>
      <c r="GK15" s="280"/>
      <c r="GL15" s="280"/>
      <c r="GM15" s="280"/>
      <c r="GN15" s="280"/>
      <c r="GO15" s="280"/>
      <c r="GP15" s="280"/>
      <c r="GQ15" s="280"/>
    </row>
    <row r="16" spans="1:206" ht="15">
      <c r="O16" s="350"/>
      <c r="BJ16" s="355"/>
      <c r="BK16" s="280"/>
      <c r="BL16" s="280"/>
      <c r="BM16" s="280"/>
      <c r="BN16" s="280"/>
      <c r="BO16" s="280"/>
      <c r="BP16" s="280"/>
      <c r="BQ16" s="280"/>
      <c r="BR16" s="280"/>
      <c r="BS16" s="280"/>
      <c r="BT16" s="280"/>
      <c r="BU16" s="280"/>
      <c r="BV16" s="280"/>
      <c r="BW16" s="280"/>
      <c r="BX16" s="280"/>
      <c r="BY16" s="280"/>
      <c r="BZ16" s="280"/>
      <c r="CA16" s="280"/>
      <c r="CB16" s="280"/>
      <c r="CC16" s="280"/>
      <c r="CD16" s="280"/>
      <c r="CE16" s="280"/>
      <c r="CF16" s="280"/>
      <c r="CG16" s="280"/>
      <c r="CH16" s="280"/>
      <c r="CI16" s="280"/>
      <c r="CJ16" s="280"/>
      <c r="CK16" s="280"/>
      <c r="CL16" s="280"/>
      <c r="CM16" s="280"/>
      <c r="CN16" s="280"/>
      <c r="CO16" s="280"/>
      <c r="CP16" s="280"/>
      <c r="CQ16" s="280"/>
      <c r="CR16" s="280"/>
      <c r="CS16" s="280"/>
      <c r="CT16" s="280"/>
      <c r="CU16" s="280"/>
      <c r="CV16" s="280"/>
      <c r="CW16" s="280"/>
      <c r="CX16" s="280"/>
      <c r="CY16" s="280"/>
      <c r="CZ16" s="280"/>
      <c r="DA16" s="280"/>
      <c r="DB16" s="280"/>
      <c r="DC16" s="280"/>
      <c r="DD16" s="280"/>
      <c r="DE16" s="280"/>
      <c r="DF16" s="280"/>
      <c r="DG16" s="280"/>
      <c r="DH16" s="280"/>
      <c r="DI16" s="280"/>
      <c r="DJ16" s="280"/>
      <c r="DK16" s="280"/>
      <c r="DL16" s="280"/>
      <c r="DM16" s="280"/>
      <c r="DN16" s="280"/>
      <c r="DO16" s="280"/>
      <c r="DP16" s="280"/>
      <c r="DQ16" s="280"/>
      <c r="DR16" s="280"/>
      <c r="DS16" s="280"/>
      <c r="DT16" s="280"/>
      <c r="DU16" s="280"/>
      <c r="DV16" s="280"/>
      <c r="DW16" s="280"/>
      <c r="DX16" s="280"/>
      <c r="DY16" s="280"/>
      <c r="DZ16" s="280"/>
      <c r="EA16" s="280"/>
      <c r="EB16" s="280"/>
      <c r="EC16" s="280"/>
      <c r="ED16" s="280"/>
      <c r="EE16" s="280"/>
      <c r="EF16" s="280"/>
      <c r="EG16" s="280"/>
      <c r="EH16" s="280"/>
      <c r="EI16" s="280"/>
      <c r="EJ16" s="280"/>
      <c r="EK16" s="280"/>
      <c r="EL16" s="280"/>
      <c r="EM16" s="280"/>
      <c r="EN16" s="280"/>
      <c r="EO16" s="280"/>
      <c r="EP16" s="280"/>
      <c r="EQ16" s="280"/>
      <c r="ER16" s="280"/>
      <c r="ES16" s="280"/>
      <c r="ET16" s="280"/>
      <c r="EU16" s="280"/>
      <c r="EV16" s="280"/>
      <c r="EW16" s="280"/>
      <c r="EX16" s="280"/>
      <c r="EY16" s="280"/>
      <c r="EZ16" s="280"/>
      <c r="FA16" s="280"/>
      <c r="FB16" s="280"/>
      <c r="FC16" s="280"/>
      <c r="FD16" s="280"/>
      <c r="FE16" s="280"/>
      <c r="FF16" s="280"/>
      <c r="FG16" s="280"/>
      <c r="FH16" s="280"/>
      <c r="FI16" s="280"/>
      <c r="FJ16" s="280"/>
      <c r="FK16" s="280"/>
      <c r="FL16" s="280"/>
      <c r="FM16" s="280"/>
      <c r="FN16" s="280"/>
      <c r="FO16" s="280"/>
      <c r="FP16" s="280"/>
      <c r="FQ16" s="280"/>
      <c r="FR16" s="280"/>
      <c r="FS16" s="280"/>
      <c r="FT16" s="280"/>
      <c r="FU16" s="280"/>
      <c r="FV16" s="280"/>
      <c r="FW16" s="280"/>
      <c r="FX16" s="280"/>
      <c r="FY16" s="280"/>
      <c r="FZ16" s="280"/>
      <c r="GA16" s="280"/>
      <c r="GB16" s="280"/>
      <c r="GC16" s="280"/>
      <c r="GD16" s="280"/>
      <c r="GE16" s="280"/>
      <c r="GF16" s="280"/>
      <c r="GG16" s="280"/>
      <c r="GH16" s="280"/>
      <c r="GI16" s="280"/>
      <c r="GJ16" s="280"/>
      <c r="GK16" s="280"/>
      <c r="GL16" s="280"/>
      <c r="GM16" s="280"/>
      <c r="GN16" s="280"/>
      <c r="GO16" s="280"/>
      <c r="GP16" s="280"/>
      <c r="GQ16" s="280"/>
    </row>
    <row r="17" spans="1:62" ht="15">
      <c r="B17" s="282"/>
      <c r="C17" s="282"/>
      <c r="D17" s="282"/>
      <c r="E17" s="282"/>
      <c r="F17" s="282"/>
      <c r="G17" s="283"/>
      <c r="H17" s="282"/>
      <c r="I17" s="282"/>
      <c r="J17" s="282"/>
      <c r="K17" s="282"/>
      <c r="L17" s="282"/>
      <c r="M17" s="282"/>
      <c r="N17" s="282"/>
      <c r="O17" s="440"/>
      <c r="P17" s="284" t="s">
        <v>243</v>
      </c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G17" s="282"/>
      <c r="AH17" s="282"/>
      <c r="AI17" s="282"/>
      <c r="AJ17" s="282"/>
      <c r="AK17" s="282"/>
      <c r="AL17" s="282"/>
      <c r="AM17" s="282"/>
      <c r="BJ17" s="355"/>
    </row>
    <row r="18" spans="1:62" ht="15">
      <c r="B18" s="282"/>
      <c r="C18" s="282"/>
      <c r="D18" s="282"/>
      <c r="E18" s="282"/>
      <c r="F18" s="282"/>
      <c r="G18" s="283"/>
      <c r="H18" s="282"/>
      <c r="I18" s="282"/>
      <c r="J18" s="282"/>
      <c r="K18" s="282"/>
      <c r="L18" s="282"/>
      <c r="M18" s="282"/>
      <c r="N18" s="282"/>
      <c r="O18" s="285"/>
      <c r="P18" s="283" t="s">
        <v>244</v>
      </c>
      <c r="Q18" s="282"/>
      <c r="R18" s="282"/>
      <c r="S18" s="282"/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  <c r="AF18" s="282"/>
      <c r="AG18" s="282"/>
      <c r="AH18" s="282"/>
      <c r="AI18" s="282"/>
      <c r="AJ18" s="282"/>
      <c r="AK18" s="282"/>
      <c r="AL18" s="282"/>
      <c r="AM18" s="282"/>
      <c r="AN18" s="282"/>
      <c r="AO18" s="282"/>
      <c r="AP18" s="282"/>
      <c r="AQ18" s="282"/>
      <c r="AR18" s="282"/>
      <c r="AS18" s="282"/>
      <c r="AT18" s="282"/>
      <c r="AU18" s="282"/>
      <c r="AV18" s="282"/>
      <c r="AW18" s="282"/>
      <c r="AX18" s="282"/>
      <c r="AY18" s="282"/>
      <c r="AZ18" s="282"/>
      <c r="BA18" s="282"/>
      <c r="BB18" s="282"/>
      <c r="BC18" s="282"/>
      <c r="BD18" s="282"/>
      <c r="BE18" s="282"/>
      <c r="BF18" s="282"/>
      <c r="BG18" s="282"/>
      <c r="BH18" s="282"/>
      <c r="BI18" s="282"/>
      <c r="BJ18" s="355"/>
    </row>
    <row r="19" spans="1:62" ht="15">
      <c r="A19" s="281"/>
      <c r="B19" s="282"/>
      <c r="C19" s="282"/>
      <c r="D19" s="282"/>
      <c r="E19" s="282"/>
      <c r="F19" s="282"/>
      <c r="G19" s="282"/>
      <c r="H19" s="282"/>
      <c r="I19" s="282"/>
      <c r="J19" s="282"/>
      <c r="K19" s="282"/>
      <c r="L19" s="282"/>
      <c r="M19" s="282"/>
      <c r="N19" s="282"/>
      <c r="O19" s="286"/>
      <c r="P19" s="284" t="s">
        <v>245</v>
      </c>
      <c r="Q19" s="282"/>
      <c r="R19" s="282"/>
      <c r="S19" s="282"/>
      <c r="T19" s="282"/>
      <c r="U19" s="282"/>
      <c r="V19" s="282"/>
      <c r="W19" s="282"/>
      <c r="X19" s="282"/>
      <c r="Y19" s="282"/>
      <c r="Z19" s="282"/>
      <c r="AA19" s="282"/>
      <c r="AB19" s="282"/>
      <c r="AC19" s="282"/>
      <c r="AD19" s="282"/>
      <c r="AE19" s="282"/>
      <c r="AF19" s="282"/>
      <c r="AG19" s="282"/>
      <c r="AH19" s="282"/>
      <c r="AI19" s="282"/>
      <c r="AJ19" s="282"/>
      <c r="AK19" s="282"/>
      <c r="AL19" s="282"/>
      <c r="AM19" s="282"/>
      <c r="AN19" s="282"/>
      <c r="AO19" s="282"/>
      <c r="AP19" s="282"/>
      <c r="AQ19" s="282"/>
      <c r="AR19" s="282"/>
      <c r="AS19" s="282"/>
      <c r="AT19" s="282"/>
      <c r="AU19" s="282"/>
      <c r="AV19" s="282"/>
      <c r="AW19" s="282"/>
      <c r="AX19" s="282"/>
      <c r="AY19" s="282"/>
      <c r="AZ19" s="282"/>
      <c r="BA19" s="282"/>
      <c r="BB19" s="282"/>
      <c r="BC19" s="282"/>
      <c r="BD19" s="282"/>
      <c r="BE19" s="282"/>
      <c r="BF19" s="282"/>
      <c r="BG19" s="282"/>
      <c r="BH19" s="282"/>
      <c r="BI19" s="282"/>
      <c r="BJ19" s="355"/>
    </row>
    <row r="20" spans="1:62" ht="15">
      <c r="A20" s="281"/>
      <c r="B20" s="282"/>
      <c r="C20" s="282"/>
      <c r="D20" s="282"/>
      <c r="E20" s="282"/>
      <c r="F20" s="282"/>
      <c r="G20" s="282"/>
      <c r="H20" s="282"/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355"/>
    </row>
    <row r="21" spans="1:62" ht="15.75" thickBot="1">
      <c r="A21" s="281"/>
      <c r="B21" s="282"/>
      <c r="C21" s="28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355"/>
    </row>
    <row r="22" spans="1:62" ht="15">
      <c r="A22" s="281"/>
      <c r="B22" s="288"/>
      <c r="C22" s="289"/>
      <c r="D22" s="289"/>
      <c r="E22" s="289"/>
      <c r="F22" s="289"/>
      <c r="G22" s="289"/>
      <c r="H22" s="289"/>
      <c r="I22" s="290"/>
      <c r="J22" s="290"/>
      <c r="K22" s="289"/>
      <c r="L22" s="289"/>
      <c r="M22" s="289"/>
      <c r="N22" s="289"/>
      <c r="O22" s="289"/>
      <c r="P22" s="289"/>
      <c r="Q22" s="289"/>
      <c r="R22" s="289"/>
      <c r="S22" s="289"/>
      <c r="T22" s="289"/>
      <c r="U22" s="289"/>
      <c r="V22" s="289"/>
      <c r="W22" s="291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  <c r="AK22" s="287"/>
      <c r="AL22" s="287"/>
      <c r="AM22" s="287"/>
      <c r="AN22" s="287"/>
      <c r="AO22" s="287"/>
      <c r="AP22" s="287"/>
      <c r="AQ22" s="287"/>
      <c r="AR22" s="287"/>
      <c r="AS22" s="287"/>
      <c r="AT22" s="287"/>
      <c r="AU22" s="287"/>
      <c r="AV22" s="287"/>
      <c r="AW22" s="287"/>
      <c r="AX22" s="287"/>
      <c r="AY22" s="287"/>
      <c r="AZ22" s="287"/>
      <c r="BA22" s="287"/>
      <c r="BB22" s="287"/>
      <c r="BC22" s="287"/>
      <c r="BD22" s="287"/>
      <c r="BE22" s="287"/>
      <c r="BF22" s="287"/>
      <c r="BG22" s="287"/>
      <c r="BH22" s="287"/>
      <c r="BI22" s="287"/>
      <c r="BJ22" s="355"/>
    </row>
    <row r="23" spans="1:62" ht="15">
      <c r="A23" s="281"/>
      <c r="B23" s="292"/>
      <c r="C23" s="293" t="s">
        <v>246</v>
      </c>
      <c r="D23" s="294"/>
      <c r="E23" s="294"/>
      <c r="F23" s="294"/>
      <c r="G23" s="294"/>
      <c r="H23" s="294"/>
      <c r="I23" s="295"/>
      <c r="J23" s="295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  <c r="V23" s="294"/>
      <c r="W23" s="296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355"/>
    </row>
    <row r="24" spans="1:62">
      <c r="A24" s="287"/>
      <c r="B24" s="292"/>
      <c r="C24" s="297" t="s">
        <v>247</v>
      </c>
      <c r="D24" s="294"/>
      <c r="E24" s="294"/>
      <c r="F24" s="294"/>
      <c r="G24" s="294"/>
      <c r="H24" s="294"/>
      <c r="I24" s="295"/>
      <c r="J24" s="295"/>
      <c r="K24" s="297" t="s">
        <v>248</v>
      </c>
      <c r="L24" s="294"/>
      <c r="M24" s="294"/>
      <c r="N24" s="294"/>
      <c r="O24" s="294"/>
      <c r="P24" s="294"/>
      <c r="Q24" s="287"/>
      <c r="R24" s="294"/>
      <c r="S24" s="297" t="s">
        <v>249</v>
      </c>
      <c r="T24" s="294"/>
      <c r="U24" s="294"/>
      <c r="V24" s="294"/>
      <c r="W24" s="296"/>
      <c r="X24" s="287"/>
      <c r="Y24" s="287"/>
      <c r="Z24" s="287"/>
      <c r="AA24" s="287"/>
      <c r="AB24" s="287"/>
      <c r="AC24" s="287"/>
      <c r="AD24" s="287"/>
      <c r="AE24" s="287"/>
      <c r="AF24" s="287"/>
      <c r="AG24" s="287"/>
      <c r="AH24" s="287"/>
      <c r="AI24" s="287"/>
      <c r="AJ24" s="287"/>
      <c r="AK24" s="287"/>
      <c r="AL24" s="287"/>
      <c r="AM24" s="287"/>
      <c r="AN24" s="287"/>
      <c r="AO24" s="287"/>
      <c r="AP24" s="287"/>
      <c r="AQ24" s="287"/>
      <c r="AR24" s="287"/>
      <c r="AS24" s="287"/>
      <c r="AT24" s="287"/>
      <c r="AU24" s="287"/>
      <c r="AV24" s="287"/>
      <c r="AW24" s="287"/>
      <c r="AX24" s="287"/>
      <c r="AY24" s="287"/>
      <c r="AZ24" s="287"/>
      <c r="BA24" s="287"/>
      <c r="BB24" s="287"/>
      <c r="BC24" s="287"/>
      <c r="BD24" s="287"/>
      <c r="BE24" s="287"/>
      <c r="BF24" s="287"/>
      <c r="BG24" s="287"/>
      <c r="BH24" s="287"/>
      <c r="BI24" s="287"/>
      <c r="BJ24" s="355"/>
    </row>
    <row r="25" spans="1:62">
      <c r="A25" s="287"/>
      <c r="B25" s="292"/>
      <c r="C25" s="297" t="s">
        <v>250</v>
      </c>
      <c r="D25" s="294"/>
      <c r="E25" s="294"/>
      <c r="F25" s="294"/>
      <c r="G25" s="294"/>
      <c r="H25" s="294"/>
      <c r="I25" s="295"/>
      <c r="J25" s="295"/>
      <c r="K25" s="297" t="s">
        <v>251</v>
      </c>
      <c r="L25" s="294"/>
      <c r="M25" s="294"/>
      <c r="N25" s="294"/>
      <c r="O25" s="294"/>
      <c r="P25" s="294"/>
      <c r="Q25" s="287"/>
      <c r="R25" s="294"/>
      <c r="S25" s="297" t="s">
        <v>252</v>
      </c>
      <c r="T25" s="294"/>
      <c r="U25" s="294"/>
      <c r="V25" s="294"/>
      <c r="W25" s="296"/>
      <c r="X25" s="287"/>
      <c r="Y25" s="287"/>
      <c r="Z25" s="287"/>
      <c r="AA25" s="287"/>
      <c r="AB25" s="287"/>
      <c r="AC25" s="287"/>
      <c r="AD25" s="287"/>
      <c r="AE25" s="287"/>
      <c r="AF25" s="287"/>
      <c r="AG25" s="287"/>
      <c r="AH25" s="287"/>
      <c r="AI25" s="287"/>
      <c r="AJ25" s="287"/>
      <c r="AK25" s="287"/>
      <c r="AL25" s="287"/>
      <c r="AM25" s="287"/>
      <c r="AN25" s="287"/>
      <c r="AO25" s="287"/>
      <c r="AP25" s="287"/>
      <c r="AQ25" s="287"/>
      <c r="AR25" s="287"/>
      <c r="AS25" s="287"/>
      <c r="AT25" s="287"/>
      <c r="AU25" s="287"/>
      <c r="AV25" s="287"/>
      <c r="AW25" s="287"/>
      <c r="AX25" s="287"/>
      <c r="AY25" s="287"/>
      <c r="AZ25" s="287"/>
      <c r="BA25" s="287"/>
      <c r="BB25" s="287"/>
      <c r="BC25" s="287"/>
      <c r="BD25" s="287"/>
      <c r="BE25" s="287"/>
      <c r="BF25" s="287"/>
      <c r="BG25" s="287"/>
      <c r="BH25" s="287"/>
      <c r="BI25" s="287"/>
      <c r="BJ25" s="355"/>
    </row>
    <row r="26" spans="1:62">
      <c r="A26" s="287"/>
      <c r="B26" s="292"/>
      <c r="C26" s="297" t="s">
        <v>253</v>
      </c>
      <c r="D26" s="294"/>
      <c r="E26" s="294"/>
      <c r="F26" s="294"/>
      <c r="G26" s="294"/>
      <c r="H26" s="294"/>
      <c r="I26" s="295"/>
      <c r="J26" s="295"/>
      <c r="K26" s="297" t="s">
        <v>254</v>
      </c>
      <c r="L26" s="294"/>
      <c r="M26" s="294"/>
      <c r="N26" s="294"/>
      <c r="O26" s="294"/>
      <c r="P26" s="294"/>
      <c r="Q26" s="287"/>
      <c r="R26" s="294"/>
      <c r="S26" s="297" t="s">
        <v>255</v>
      </c>
      <c r="T26" s="294"/>
      <c r="U26" s="294"/>
      <c r="V26" s="294"/>
      <c r="W26" s="296"/>
      <c r="X26" s="287"/>
      <c r="Y26" s="287"/>
      <c r="Z26" s="287"/>
      <c r="AA26" s="287"/>
      <c r="AB26" s="287"/>
      <c r="AC26" s="287"/>
      <c r="AD26" s="287"/>
      <c r="AE26" s="287"/>
      <c r="AF26" s="287"/>
      <c r="AG26" s="287"/>
      <c r="AH26" s="287"/>
      <c r="AI26" s="287"/>
      <c r="AJ26" s="287"/>
      <c r="AK26" s="287"/>
      <c r="AL26" s="287"/>
      <c r="AM26" s="287"/>
      <c r="AN26" s="287"/>
      <c r="AO26" s="287"/>
      <c r="AP26" s="287"/>
      <c r="AQ26" s="287"/>
      <c r="AR26" s="287"/>
      <c r="AS26" s="287"/>
      <c r="AT26" s="287"/>
      <c r="AU26" s="287"/>
      <c r="AV26" s="287"/>
      <c r="AW26" s="287"/>
      <c r="AX26" s="287"/>
      <c r="AY26" s="287"/>
      <c r="AZ26" s="287"/>
      <c r="BA26" s="287"/>
      <c r="BB26" s="287"/>
      <c r="BC26" s="287"/>
      <c r="BD26" s="287"/>
      <c r="BE26" s="287"/>
      <c r="BF26" s="287"/>
      <c r="BG26" s="287"/>
      <c r="BH26" s="287"/>
      <c r="BI26" s="287"/>
      <c r="BJ26" s="355"/>
    </row>
    <row r="27" spans="1:62">
      <c r="A27" s="287"/>
      <c r="B27" s="292"/>
      <c r="C27" s="297" t="s">
        <v>256</v>
      </c>
      <c r="D27" s="294"/>
      <c r="E27" s="294"/>
      <c r="F27" s="294"/>
      <c r="G27" s="294"/>
      <c r="H27" s="294"/>
      <c r="I27" s="295"/>
      <c r="J27" s="295"/>
      <c r="K27" s="297" t="s">
        <v>257</v>
      </c>
      <c r="L27" s="294"/>
      <c r="M27" s="294"/>
      <c r="N27" s="294"/>
      <c r="O27" s="294"/>
      <c r="P27" s="294"/>
      <c r="Q27" s="287"/>
      <c r="R27" s="294"/>
      <c r="S27" s="297" t="s">
        <v>258</v>
      </c>
      <c r="T27" s="294"/>
      <c r="U27" s="294"/>
      <c r="V27" s="294"/>
      <c r="W27" s="296"/>
      <c r="X27" s="287"/>
      <c r="Y27" s="287"/>
      <c r="Z27" s="287"/>
      <c r="AA27" s="287"/>
      <c r="AB27" s="287"/>
      <c r="AC27" s="287"/>
      <c r="AD27" s="287"/>
      <c r="AE27" s="287"/>
      <c r="AF27" s="287"/>
      <c r="AG27" s="287"/>
      <c r="AH27" s="287"/>
      <c r="AI27" s="287"/>
      <c r="AJ27" s="287"/>
      <c r="AK27" s="287"/>
      <c r="AL27" s="287"/>
      <c r="AM27" s="287"/>
      <c r="AN27" s="287"/>
      <c r="AO27" s="287"/>
      <c r="AP27" s="287"/>
      <c r="AQ27" s="287"/>
      <c r="AR27" s="287"/>
      <c r="AS27" s="287"/>
      <c r="AT27" s="287"/>
      <c r="AU27" s="287"/>
      <c r="AV27" s="287"/>
      <c r="AW27" s="287"/>
      <c r="AX27" s="287"/>
      <c r="AY27" s="287"/>
      <c r="AZ27" s="287"/>
      <c r="BA27" s="287"/>
      <c r="BB27" s="287"/>
      <c r="BC27" s="287"/>
      <c r="BD27" s="287"/>
      <c r="BE27" s="287"/>
      <c r="BF27" s="287"/>
      <c r="BG27" s="287"/>
      <c r="BH27" s="287"/>
      <c r="BI27" s="287"/>
      <c r="BJ27" s="355"/>
    </row>
    <row r="28" spans="1:62">
      <c r="A28" s="287"/>
      <c r="B28" s="292"/>
      <c r="C28" s="297" t="s">
        <v>259</v>
      </c>
      <c r="D28" s="294"/>
      <c r="E28" s="294"/>
      <c r="F28" s="294"/>
      <c r="G28" s="294"/>
      <c r="H28" s="294"/>
      <c r="I28" s="295"/>
      <c r="J28" s="295"/>
      <c r="K28" s="297" t="s">
        <v>260</v>
      </c>
      <c r="L28" s="294"/>
      <c r="M28" s="294"/>
      <c r="N28" s="294"/>
      <c r="O28" s="294"/>
      <c r="P28" s="294"/>
      <c r="Q28" s="287"/>
      <c r="R28" s="294"/>
      <c r="S28" s="297" t="s">
        <v>261</v>
      </c>
      <c r="T28" s="294"/>
      <c r="U28" s="294"/>
      <c r="V28" s="294"/>
      <c r="W28" s="296"/>
      <c r="X28" s="287"/>
      <c r="Y28" s="287"/>
      <c r="Z28" s="287"/>
      <c r="AA28" s="287"/>
      <c r="AB28" s="287"/>
      <c r="AC28" s="287"/>
      <c r="AD28" s="287"/>
      <c r="AE28" s="287"/>
      <c r="AF28" s="287"/>
      <c r="AG28" s="287"/>
      <c r="AH28" s="287"/>
      <c r="AI28" s="287"/>
      <c r="AJ28" s="287"/>
      <c r="AK28" s="287"/>
      <c r="AL28" s="287"/>
      <c r="AM28" s="287"/>
      <c r="AN28" s="287"/>
      <c r="AO28" s="287"/>
      <c r="AP28" s="287"/>
      <c r="AQ28" s="287"/>
      <c r="AR28" s="287"/>
      <c r="AS28" s="287"/>
      <c r="AT28" s="287"/>
      <c r="AU28" s="287"/>
      <c r="AV28" s="287"/>
      <c r="AW28" s="287"/>
      <c r="AX28" s="287"/>
      <c r="AY28" s="287"/>
      <c r="AZ28" s="287"/>
      <c r="BA28" s="287"/>
      <c r="BB28" s="287"/>
      <c r="BC28" s="287"/>
      <c r="BD28" s="287"/>
      <c r="BE28" s="287"/>
      <c r="BF28" s="287"/>
      <c r="BG28" s="287"/>
      <c r="BH28" s="287"/>
      <c r="BI28" s="287"/>
    </row>
    <row r="29" spans="1:62">
      <c r="A29" s="287"/>
      <c r="B29" s="292"/>
      <c r="C29" s="297" t="s">
        <v>262</v>
      </c>
      <c r="D29" s="294"/>
      <c r="E29" s="294"/>
      <c r="F29" s="294"/>
      <c r="G29" s="294"/>
      <c r="H29" s="294"/>
      <c r="I29" s="295"/>
      <c r="J29" s="295"/>
      <c r="K29" s="297" t="s">
        <v>263</v>
      </c>
      <c r="L29" s="294"/>
      <c r="M29" s="294"/>
      <c r="N29" s="294"/>
      <c r="O29" s="294"/>
      <c r="P29" s="294"/>
      <c r="Q29" s="287"/>
      <c r="R29" s="294"/>
      <c r="S29" s="297" t="s">
        <v>264</v>
      </c>
      <c r="T29" s="294"/>
      <c r="U29" s="294"/>
      <c r="V29" s="294"/>
      <c r="W29" s="296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7"/>
    </row>
    <row r="30" spans="1:62">
      <c r="A30" s="287"/>
      <c r="B30" s="292"/>
      <c r="C30" s="297" t="s">
        <v>265</v>
      </c>
      <c r="D30" s="294"/>
      <c r="E30" s="294"/>
      <c r="F30" s="294"/>
      <c r="G30" s="294"/>
      <c r="H30" s="294"/>
      <c r="I30" s="295"/>
      <c r="J30" s="295"/>
      <c r="K30" s="295"/>
      <c r="L30" s="294"/>
      <c r="M30" s="294"/>
      <c r="N30" s="294"/>
      <c r="O30" s="294"/>
      <c r="P30" s="294"/>
      <c r="Q30" s="287"/>
      <c r="R30" s="294"/>
      <c r="S30" s="297" t="s">
        <v>266</v>
      </c>
      <c r="T30" s="294"/>
      <c r="U30" s="294"/>
      <c r="V30" s="294"/>
      <c r="W30" s="296"/>
      <c r="X30" s="287"/>
      <c r="Y30" s="287"/>
      <c r="Z30" s="287"/>
      <c r="AA30" s="287"/>
      <c r="AB30" s="287"/>
      <c r="AC30" s="287"/>
      <c r="AD30" s="287"/>
      <c r="AE30" s="287"/>
      <c r="AF30" s="287"/>
      <c r="AG30" s="287"/>
      <c r="AH30" s="287"/>
      <c r="AI30" s="287"/>
      <c r="AJ30" s="287"/>
      <c r="AK30" s="287"/>
      <c r="AL30" s="287"/>
      <c r="AM30" s="287"/>
      <c r="AN30" s="287"/>
      <c r="AO30" s="287"/>
      <c r="AP30" s="287"/>
      <c r="AQ30" s="287"/>
      <c r="AR30" s="287"/>
      <c r="AS30" s="287"/>
      <c r="AT30" s="287"/>
      <c r="AU30" s="287"/>
      <c r="AV30" s="287"/>
      <c r="AW30" s="287"/>
      <c r="AX30" s="287"/>
      <c r="AY30" s="287"/>
      <c r="AZ30" s="287"/>
      <c r="BA30" s="287"/>
      <c r="BB30" s="287"/>
      <c r="BC30" s="287"/>
      <c r="BD30" s="287"/>
      <c r="BE30" s="287"/>
      <c r="BF30" s="287"/>
      <c r="BG30" s="287"/>
      <c r="BH30" s="287"/>
      <c r="BI30" s="287"/>
    </row>
    <row r="31" spans="1:62">
      <c r="A31" s="287"/>
      <c r="B31" s="292"/>
      <c r="C31" s="297" t="s">
        <v>267</v>
      </c>
      <c r="D31" s="294"/>
      <c r="E31" s="294"/>
      <c r="F31" s="294"/>
      <c r="G31" s="294"/>
      <c r="H31" s="294"/>
      <c r="I31" s="295"/>
      <c r="J31" s="295"/>
      <c r="K31" s="295"/>
      <c r="L31" s="294"/>
      <c r="M31" s="294"/>
      <c r="N31" s="294"/>
      <c r="O31" s="294"/>
      <c r="P31" s="294"/>
      <c r="Q31" s="287"/>
      <c r="R31" s="294"/>
      <c r="S31" s="297"/>
      <c r="T31" s="294"/>
      <c r="U31" s="294"/>
      <c r="V31" s="294"/>
      <c r="W31" s="296"/>
      <c r="X31" s="287"/>
      <c r="Y31" s="287"/>
      <c r="Z31" s="287"/>
      <c r="AA31" s="287"/>
      <c r="AB31" s="287"/>
      <c r="AC31" s="287"/>
      <c r="AD31" s="287"/>
      <c r="AE31" s="287"/>
      <c r="AF31" s="287"/>
      <c r="AG31" s="287"/>
      <c r="AH31" s="287"/>
      <c r="AI31" s="287"/>
      <c r="AJ31" s="287"/>
      <c r="AK31" s="287"/>
      <c r="AL31" s="287"/>
      <c r="AM31" s="287"/>
      <c r="AN31" s="287"/>
      <c r="AO31" s="287"/>
      <c r="AP31" s="287"/>
      <c r="AQ31" s="287"/>
      <c r="AR31" s="287"/>
      <c r="AS31" s="287"/>
      <c r="AT31" s="287"/>
      <c r="AU31" s="287"/>
      <c r="AV31" s="287"/>
      <c r="AW31" s="287"/>
      <c r="AX31" s="287"/>
      <c r="AY31" s="287"/>
      <c r="AZ31" s="287"/>
      <c r="BA31" s="287"/>
      <c r="BB31" s="287"/>
      <c r="BC31" s="287"/>
      <c r="BD31" s="287"/>
      <c r="BE31" s="287"/>
      <c r="BF31" s="287"/>
      <c r="BG31" s="287"/>
      <c r="BH31" s="287"/>
      <c r="BI31" s="287"/>
    </row>
    <row r="32" spans="1:62">
      <c r="A32" s="287"/>
      <c r="B32" s="292"/>
      <c r="C32" s="297" t="s">
        <v>268</v>
      </c>
      <c r="D32" s="294"/>
      <c r="E32" s="294"/>
      <c r="F32" s="294"/>
      <c r="G32" s="294"/>
      <c r="H32" s="294"/>
      <c r="I32" s="295"/>
      <c r="J32" s="295"/>
      <c r="K32" s="295"/>
      <c r="L32" s="294"/>
      <c r="M32" s="294"/>
      <c r="N32" s="294"/>
      <c r="O32" s="294"/>
      <c r="P32" s="294"/>
      <c r="Q32" s="287"/>
      <c r="R32" s="294"/>
      <c r="S32" s="297"/>
      <c r="T32" s="294"/>
      <c r="U32" s="294"/>
      <c r="V32" s="294"/>
      <c r="W32" s="296"/>
      <c r="X32" s="287"/>
      <c r="Y32" s="287"/>
      <c r="Z32" s="287"/>
      <c r="AA32" s="287"/>
      <c r="AB32" s="287"/>
      <c r="AC32" s="287"/>
      <c r="AD32" s="287"/>
      <c r="AE32" s="287"/>
      <c r="AF32" s="287"/>
      <c r="AG32" s="287"/>
      <c r="AH32" s="287"/>
      <c r="AI32" s="287"/>
      <c r="AJ32" s="287"/>
      <c r="AK32" s="287"/>
      <c r="AL32" s="287"/>
      <c r="AM32" s="287"/>
      <c r="AN32" s="287"/>
      <c r="AO32" s="287"/>
      <c r="AP32" s="287"/>
      <c r="AQ32" s="287"/>
      <c r="AR32" s="287"/>
      <c r="AS32" s="287"/>
      <c r="AT32" s="287"/>
      <c r="AU32" s="287"/>
      <c r="AV32" s="287"/>
      <c r="AW32" s="287"/>
      <c r="AX32" s="287"/>
      <c r="AY32" s="287"/>
      <c r="AZ32" s="287"/>
      <c r="BA32" s="287"/>
      <c r="BB32" s="287"/>
      <c r="BC32" s="287"/>
      <c r="BD32" s="287"/>
      <c r="BE32" s="287"/>
      <c r="BF32" s="287"/>
      <c r="BG32" s="287"/>
      <c r="BH32" s="287"/>
      <c r="BI32" s="287"/>
    </row>
    <row r="33" spans="1:61" ht="13.5" thickBot="1">
      <c r="A33" s="287"/>
      <c r="B33" s="298"/>
      <c r="C33" s="299"/>
      <c r="D33" s="299"/>
      <c r="E33" s="299"/>
      <c r="F33" s="299"/>
      <c r="G33" s="299"/>
      <c r="H33" s="299"/>
      <c r="I33" s="300"/>
      <c r="J33" s="300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301"/>
      <c r="X33" s="287"/>
      <c r="Y33" s="287"/>
      <c r="Z33" s="287"/>
      <c r="AA33" s="287"/>
      <c r="AB33" s="287"/>
      <c r="AC33" s="287"/>
      <c r="AD33" s="287"/>
      <c r="AE33" s="287"/>
      <c r="AF33" s="287"/>
      <c r="AG33" s="287"/>
      <c r="AH33" s="287"/>
      <c r="AI33" s="287"/>
      <c r="AJ33" s="287"/>
      <c r="AK33" s="287"/>
      <c r="AL33" s="287"/>
      <c r="AM33" s="287"/>
      <c r="AN33" s="287"/>
      <c r="AO33" s="287"/>
      <c r="AP33" s="287"/>
      <c r="AQ33" s="287"/>
      <c r="AR33" s="287"/>
      <c r="AS33" s="287"/>
      <c r="AT33" s="287"/>
      <c r="AU33" s="287"/>
      <c r="AV33" s="287"/>
      <c r="AW33" s="287"/>
      <c r="AX33" s="287"/>
      <c r="AY33" s="287"/>
      <c r="AZ33" s="287"/>
      <c r="BA33" s="287"/>
      <c r="BB33" s="287"/>
      <c r="BC33" s="287"/>
      <c r="BD33" s="287"/>
      <c r="BE33" s="287"/>
      <c r="BF33" s="287"/>
      <c r="BG33" s="287"/>
      <c r="BH33" s="287"/>
      <c r="BI33" s="287"/>
    </row>
    <row r="34" spans="1:61" ht="15">
      <c r="A34" s="287"/>
      <c r="B34" s="282"/>
      <c r="C34" s="282"/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2"/>
      <c r="AI34" s="282"/>
      <c r="AJ34" s="282"/>
      <c r="AK34" s="282"/>
      <c r="AL34" s="282"/>
      <c r="AM34" s="282"/>
      <c r="AN34" s="282"/>
      <c r="AO34" s="282"/>
      <c r="AP34" s="282"/>
      <c r="AQ34" s="282"/>
      <c r="AR34" s="282"/>
      <c r="AS34" s="282"/>
      <c r="AT34" s="282"/>
      <c r="AU34" s="282"/>
      <c r="AV34" s="282"/>
      <c r="AW34" s="282"/>
      <c r="AX34" s="282"/>
      <c r="AY34" s="282"/>
      <c r="AZ34" s="282"/>
      <c r="BA34" s="282"/>
      <c r="BB34" s="282"/>
      <c r="BC34" s="282"/>
      <c r="BD34" s="282"/>
      <c r="BE34" s="282"/>
      <c r="BF34" s="282"/>
      <c r="BG34" s="282"/>
      <c r="BH34" s="282"/>
      <c r="BI34" s="282"/>
    </row>
    <row r="35" spans="1:61" ht="15">
      <c r="A35" s="287"/>
      <c r="B35" s="282"/>
      <c r="C35" s="282"/>
      <c r="D35" s="282"/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  <c r="AK35" s="282"/>
      <c r="AL35" s="282"/>
      <c r="AM35" s="282"/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</row>
    <row r="36" spans="1:61" ht="15">
      <c r="A36" s="282"/>
    </row>
    <row r="37" spans="1:61" ht="15">
      <c r="A37" s="282"/>
    </row>
  </sheetData>
  <mergeCells count="139">
    <mergeCell ref="FD1:FE2"/>
    <mergeCell ref="DO2:EM2"/>
    <mergeCell ref="DP3:DP5"/>
    <mergeCell ref="DQ3:DQ5"/>
    <mergeCell ref="DR3:DS5"/>
    <mergeCell ref="DT3:DU5"/>
    <mergeCell ref="DV3:EB3"/>
    <mergeCell ref="EC3:EM3"/>
    <mergeCell ref="EU3:FB3"/>
    <mergeCell ref="FC3:FM3"/>
    <mergeCell ref="DV4:DZ4"/>
    <mergeCell ref="EA4:EB5"/>
    <mergeCell ref="EC4:EC5"/>
    <mergeCell ref="EM4:EM6"/>
    <mergeCell ref="FC4:FG4"/>
    <mergeCell ref="DV5:DX5"/>
    <mergeCell ref="DY5:DY6"/>
    <mergeCell ref="DZ5:DZ6"/>
    <mergeCell ref="EN5:ET5"/>
    <mergeCell ref="DO3:DO5"/>
    <mergeCell ref="DN3:DN5"/>
    <mergeCell ref="BK4:BP4"/>
    <mergeCell ref="BR4:BS4"/>
    <mergeCell ref="BT4:BU4"/>
    <mergeCell ref="BV4:BX4"/>
    <mergeCell ref="BY4:CA4"/>
    <mergeCell ref="CB4:CC4"/>
    <mergeCell ref="CD4:CK4"/>
    <mergeCell ref="CO4:CQ4"/>
    <mergeCell ref="DG3:DG5"/>
    <mergeCell ref="DH3:DH5"/>
    <mergeCell ref="DI3:DI5"/>
    <mergeCell ref="DJ3:DJ5"/>
    <mergeCell ref="DK3:DK5"/>
    <mergeCell ref="DL3:DL5"/>
    <mergeCell ref="DA3:DA5"/>
    <mergeCell ref="DB3:DB4"/>
    <mergeCell ref="DC3:DC4"/>
    <mergeCell ref="DD3:DD5"/>
    <mergeCell ref="DE3:DE5"/>
    <mergeCell ref="DF3:DF5"/>
    <mergeCell ref="CM3:CM5"/>
    <mergeCell ref="CN3:CN5"/>
    <mergeCell ref="O4:O6"/>
    <mergeCell ref="P4:P5"/>
    <mergeCell ref="Q4:Q5"/>
    <mergeCell ref="R4:R5"/>
    <mergeCell ref="S4:S5"/>
    <mergeCell ref="T4:U5"/>
    <mergeCell ref="BF3:BF5"/>
    <mergeCell ref="BH3:BH5"/>
    <mergeCell ref="BI3:BI5"/>
    <mergeCell ref="BA3:BA5"/>
    <mergeCell ref="BB3:BB5"/>
    <mergeCell ref="BC3:BC5"/>
    <mergeCell ref="BE3:BE5"/>
    <mergeCell ref="AE3:AE5"/>
    <mergeCell ref="AF3:AF5"/>
    <mergeCell ref="AG3:AG5"/>
    <mergeCell ref="AH3:AH5"/>
    <mergeCell ref="AN4:AN5"/>
    <mergeCell ref="AO4:AO5"/>
    <mergeCell ref="AP4:AT4"/>
    <mergeCell ref="AV3:AV5"/>
    <mergeCell ref="AW3:AW5"/>
    <mergeCell ref="AX3:AX5"/>
    <mergeCell ref="AO3:AT3"/>
    <mergeCell ref="AD3:AD5"/>
    <mergeCell ref="GB3:GB5"/>
    <mergeCell ref="GC3:GC5"/>
    <mergeCell ref="GD3:GD5"/>
    <mergeCell ref="GE3:GE5"/>
    <mergeCell ref="CW2:DA2"/>
    <mergeCell ref="DD2:DF2"/>
    <mergeCell ref="DG2:DI2"/>
    <mergeCell ref="DJ2:DN2"/>
    <mergeCell ref="BK3:CK3"/>
    <mergeCell ref="CL3:CL5"/>
    <mergeCell ref="AE2:BI2"/>
    <mergeCell ref="CW3:CW5"/>
    <mergeCell ref="CX3:CX5"/>
    <mergeCell ref="CY3:CY5"/>
    <mergeCell ref="CZ3:CZ5"/>
    <mergeCell ref="CR4:CT4"/>
    <mergeCell ref="CU4:CV4"/>
    <mergeCell ref="AJ3:AN3"/>
    <mergeCell ref="AJ4:AJ5"/>
    <mergeCell ref="AK4:AK5"/>
    <mergeCell ref="AL4:AL5"/>
    <mergeCell ref="AM4:AM5"/>
    <mergeCell ref="DM3:DM5"/>
    <mergeCell ref="A1:BI1"/>
    <mergeCell ref="A2:A6"/>
    <mergeCell ref="B2:B5"/>
    <mergeCell ref="C2:C6"/>
    <mergeCell ref="D2:D6"/>
    <mergeCell ref="E2:E6"/>
    <mergeCell ref="F2:F6"/>
    <mergeCell ref="G2:N3"/>
    <mergeCell ref="O2:U3"/>
    <mergeCell ref="V2:AD2"/>
    <mergeCell ref="G4:G6"/>
    <mergeCell ref="H4:H5"/>
    <mergeCell ref="I4:I5"/>
    <mergeCell ref="J4:J5"/>
    <mergeCell ref="K4:K5"/>
    <mergeCell ref="L4:L5"/>
    <mergeCell ref="M4:N5"/>
    <mergeCell ref="AY3:AY5"/>
    <mergeCell ref="AZ3:AZ5"/>
    <mergeCell ref="AI3:AI5"/>
    <mergeCell ref="V3:W4"/>
    <mergeCell ref="X3:Y4"/>
    <mergeCell ref="Z3:AB4"/>
    <mergeCell ref="AC3:AC5"/>
    <mergeCell ref="GF4:GF5"/>
    <mergeCell ref="AC12:AD12"/>
    <mergeCell ref="GO1:GP2"/>
    <mergeCell ref="GF3:GM3"/>
    <mergeCell ref="GN3:GX3"/>
    <mergeCell ref="GN4:GR4"/>
    <mergeCell ref="FN2:FR2"/>
    <mergeCell ref="FU2:FW2"/>
    <mergeCell ref="FX2:FZ2"/>
    <mergeCell ref="GA2:GE2"/>
    <mergeCell ref="FN3:FN5"/>
    <mergeCell ref="FO3:FO5"/>
    <mergeCell ref="FP3:FP5"/>
    <mergeCell ref="FQ3:FQ5"/>
    <mergeCell ref="FR3:FR5"/>
    <mergeCell ref="FS3:FS4"/>
    <mergeCell ref="FT3:FT4"/>
    <mergeCell ref="FU3:FU5"/>
    <mergeCell ref="FV3:FV5"/>
    <mergeCell ref="FW3:FW5"/>
    <mergeCell ref="FX3:FX5"/>
    <mergeCell ref="FY3:FY5"/>
    <mergeCell ref="FZ3:FZ5"/>
    <mergeCell ref="GA3:GA5"/>
  </mergeCells>
  <dataValidations disablePrompts="1" count="3">
    <dataValidation sqref="T7:U11"/>
    <dataValidation type="list" allowBlank="1" showInputMessage="1" showErrorMessage="1" sqref="O7:O11">
      <formula1>"RCP,SC,BC"</formula1>
    </dataValidation>
    <dataValidation type="list" allowBlank="1" sqref="M7:N11">
      <formula1>$XDR$21:$XDR$29</formula1>
    </dataValidation>
  </dataValidations>
  <pageMargins left="0.7" right="0.7" top="0.75" bottom="0.75" header="0.3" footer="0.3"/>
  <ignoredErrors>
    <ignoredError sqref="AE12" evalError="1"/>
  </ignoredErrors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>
      <selection activeCell="D3" sqref="D3"/>
    </sheetView>
  </sheetViews>
  <sheetFormatPr defaultRowHeight="15"/>
  <cols>
    <col min="1" max="1" width="27.28515625" style="43" customWidth="1"/>
    <col min="2" max="2" width="40.140625" style="43" customWidth="1"/>
    <col min="3" max="16384" width="9.140625" style="43"/>
  </cols>
  <sheetData>
    <row r="1" spans="1:2" ht="42" customHeight="1" thickBot="1">
      <c r="A1" s="59" t="s">
        <v>72</v>
      </c>
      <c r="B1" s="60" t="s">
        <v>68</v>
      </c>
    </row>
    <row r="2" spans="1:2" ht="18.75" customHeight="1">
      <c r="A2" s="61">
        <v>0</v>
      </c>
      <c r="B2" s="62">
        <f>100-A2</f>
        <v>100</v>
      </c>
    </row>
    <row r="3" spans="1:2" ht="43.5" customHeight="1" thickBot="1">
      <c r="A3" s="59" t="s">
        <v>73</v>
      </c>
      <c r="B3" s="59" t="s">
        <v>74</v>
      </c>
    </row>
    <row r="4" spans="1:2" ht="15.75" thickBot="1">
      <c r="A4" s="59">
        <v>100</v>
      </c>
      <c r="B4" s="59">
        <v>0</v>
      </c>
    </row>
    <row r="5" spans="1:2">
      <c r="A5" s="247"/>
      <c r="B5" s="247"/>
    </row>
    <row r="6" spans="1:2" ht="26.25" customHeight="1">
      <c r="A6" s="248" t="s">
        <v>75</v>
      </c>
      <c r="B6" s="249">
        <v>0.3</v>
      </c>
    </row>
    <row r="7" spans="1:2" ht="30">
      <c r="A7" s="248" t="s">
        <v>76</v>
      </c>
      <c r="B7" s="249">
        <v>0.3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7" tint="-0.249977111117893"/>
  </sheetPr>
  <dimension ref="A1:N817"/>
  <sheetViews>
    <sheetView workbookViewId="0">
      <selection activeCell="D13" sqref="D13"/>
    </sheetView>
  </sheetViews>
  <sheetFormatPr defaultRowHeight="15"/>
  <cols>
    <col min="1" max="1" width="12" style="72" bestFit="1" customWidth="1"/>
    <col min="2" max="2" width="9.140625" style="72"/>
    <col min="3" max="3" width="11.140625" style="72" customWidth="1"/>
    <col min="4" max="9" width="9.140625" style="72"/>
    <col min="10" max="10" width="11.5703125" style="72" customWidth="1"/>
    <col min="11" max="16384" width="9.140625" style="72"/>
  </cols>
  <sheetData>
    <row r="1" spans="1:14">
      <c r="A1" s="72">
        <v>2.8849432252696774</v>
      </c>
      <c r="D1" s="72" t="s">
        <v>92</v>
      </c>
      <c r="E1" s="72" t="s">
        <v>93</v>
      </c>
    </row>
    <row r="2" spans="1:14">
      <c r="B2" s="72" t="s">
        <v>38</v>
      </c>
      <c r="C2" s="72" t="s">
        <v>39</v>
      </c>
      <c r="J2" s="210" t="s">
        <v>157</v>
      </c>
      <c r="K2" s="213" t="s">
        <v>158</v>
      </c>
    </row>
    <row r="3" spans="1:14">
      <c r="B3" s="73" t="s">
        <v>94</v>
      </c>
      <c r="C3" s="74"/>
      <c r="E3" s="72" t="s">
        <v>95</v>
      </c>
      <c r="J3" s="76" t="s">
        <v>392</v>
      </c>
      <c r="K3" s="72" t="s">
        <v>71</v>
      </c>
    </row>
    <row r="4" spans="1:14">
      <c r="B4" s="72">
        <v>962.0685000434122</v>
      </c>
      <c r="C4" s="72">
        <v>-30096.304125865554</v>
      </c>
      <c r="F4" s="75" t="s">
        <v>96</v>
      </c>
      <c r="J4" s="211" t="s">
        <v>155</v>
      </c>
      <c r="K4" s="212"/>
      <c r="M4" s="214"/>
      <c r="N4" s="203"/>
    </row>
    <row r="5" spans="1:14">
      <c r="B5" s="72">
        <v>979.97742347485587</v>
      </c>
      <c r="C5" s="72">
        <v>-30097.253737048275</v>
      </c>
      <c r="F5" s="76">
        <f>COUNT(B4:B5,B8:B9)+COUNTA($G$20:$G$593)</f>
        <v>17</v>
      </c>
      <c r="G5" s="72">
        <f>F5</f>
        <v>17</v>
      </c>
      <c r="H5" s="72">
        <f>COUNT($G$20:$G$593)</f>
        <v>13</v>
      </c>
      <c r="J5" s="208" t="s">
        <v>69</v>
      </c>
      <c r="K5" s="208" t="s">
        <v>153</v>
      </c>
      <c r="M5" s="215"/>
      <c r="N5" s="216"/>
    </row>
    <row r="6" spans="1:14">
      <c r="J6" s="76" t="str">
        <f>[1]main!$D$7</f>
        <v>C</v>
      </c>
      <c r="K6" s="76" t="str">
        <f>[1]main!$G$7</f>
        <v>C</v>
      </c>
      <c r="M6" s="215"/>
      <c r="N6" s="216"/>
    </row>
    <row r="7" spans="1:14">
      <c r="B7" s="73" t="s">
        <v>97</v>
      </c>
      <c r="C7" s="74"/>
      <c r="M7" s="215"/>
      <c r="N7" s="216"/>
    </row>
    <row r="8" spans="1:14">
      <c r="B8" s="77">
        <v>962.0685000434122</v>
      </c>
      <c r="C8" s="77">
        <v>-30096.229967865405</v>
      </c>
      <c r="M8" s="215"/>
      <c r="N8" s="216"/>
    </row>
    <row r="9" spans="1:14">
      <c r="B9" s="72">
        <v>979.97742347485587</v>
      </c>
      <c r="C9" s="72">
        <v>-30096.158332171675</v>
      </c>
      <c r="J9" s="207" t="s">
        <v>154</v>
      </c>
      <c r="K9" s="74"/>
      <c r="L9"/>
      <c r="M9" s="33"/>
      <c r="N9" s="216"/>
    </row>
    <row r="10" spans="1:14">
      <c r="E10" s="76">
        <v>0</v>
      </c>
      <c r="J10" s="204" t="s">
        <v>151</v>
      </c>
      <c r="K10" s="203">
        <v>979.97742347485587</v>
      </c>
      <c r="L10"/>
      <c r="M10" s="33"/>
      <c r="N10" s="216"/>
    </row>
    <row r="11" spans="1:14">
      <c r="B11" s="78" t="s">
        <v>98</v>
      </c>
      <c r="C11" s="79"/>
      <c r="J11" s="205" t="s">
        <v>152</v>
      </c>
      <c r="K11" s="206">
        <v>-30096.158332171675</v>
      </c>
      <c r="L11"/>
      <c r="M11" s="35"/>
      <c r="N11" s="206"/>
    </row>
    <row r="12" spans="1:14">
      <c r="B12" s="76" t="s">
        <v>99</v>
      </c>
      <c r="C12" s="76">
        <v>4.5491933366283774</v>
      </c>
      <c r="D12" s="80"/>
      <c r="L12"/>
    </row>
    <row r="13" spans="1:14">
      <c r="A13" s="72">
        <v>0</v>
      </c>
      <c r="B13" s="80"/>
      <c r="D13" s="80"/>
      <c r="E13" s="76"/>
      <c r="L13"/>
    </row>
    <row r="14" spans="1:14">
      <c r="D14" s="80"/>
      <c r="E14" s="76"/>
      <c r="J14" s="229" t="s">
        <v>159</v>
      </c>
      <c r="L14" s="665" t="s">
        <v>390</v>
      </c>
      <c r="M14" s="666"/>
    </row>
    <row r="15" spans="1:14">
      <c r="B15" s="80"/>
      <c r="D15" s="80"/>
      <c r="J15" s="217" t="s">
        <v>98</v>
      </c>
      <c r="L15" s="521" t="s">
        <v>151</v>
      </c>
      <c r="M15" s="521" t="s">
        <v>152</v>
      </c>
      <c r="N15" s="520" t="s">
        <v>69</v>
      </c>
    </row>
    <row r="16" spans="1:14">
      <c r="B16" s="72" t="s">
        <v>389</v>
      </c>
      <c r="J16" s="522">
        <v>6.6700807823370365</v>
      </c>
      <c r="K16" s="72">
        <v>0</v>
      </c>
      <c r="L16" s="76">
        <f>[1]main!$I$53</f>
        <v>980.48054468002522</v>
      </c>
      <c r="M16" s="76">
        <f>[1]main!$J$53</f>
        <v>-30374.885407895479</v>
      </c>
    </row>
    <row r="17" spans="2:14">
      <c r="J17" s="522">
        <v>6.6700807823370365</v>
      </c>
      <c r="L17" s="76">
        <f>[1]main!$I$54</f>
        <v>961.42013460959072</v>
      </c>
      <c r="M17" s="76">
        <f>[1]main!$J$54</f>
        <v>-30375.042745502666</v>
      </c>
      <c r="N17" s="520" t="s">
        <v>391</v>
      </c>
    </row>
    <row r="18" spans="2:14">
      <c r="B18" s="72" t="s">
        <v>100</v>
      </c>
      <c r="G18" s="72" t="s">
        <v>101</v>
      </c>
    </row>
    <row r="19" spans="2:14">
      <c r="B19" s="72" t="s">
        <v>38</v>
      </c>
      <c r="C19" s="72" t="s">
        <v>39</v>
      </c>
      <c r="D19" s="72" t="s">
        <v>102</v>
      </c>
      <c r="E19" s="72" t="s">
        <v>103</v>
      </c>
      <c r="G19" s="72" t="s">
        <v>38</v>
      </c>
      <c r="H19" s="72" t="s">
        <v>39</v>
      </c>
    </row>
    <row r="20" spans="2:14">
      <c r="B20" s="72">
        <v>952.14075739600594</v>
      </c>
      <c r="C20" s="72">
        <v>-30096.29388232794</v>
      </c>
      <c r="D20" s="81" t="str">
        <f t="shared" ref="D20:D83" si="0">IF(B20&gt;$B$4,IF(B20&lt;$B$5,B20,""),"")</f>
        <v/>
      </c>
      <c r="E20" s="81" t="str">
        <f t="shared" ref="E20:E83" si="1">IF(D20="","",C20)</f>
        <v/>
      </c>
      <c r="G20" s="72">
        <v>962.07136430584069</v>
      </c>
      <c r="H20" s="72">
        <v>-30096.304126389907</v>
      </c>
    </row>
    <row r="21" spans="2:14">
      <c r="B21" s="72">
        <v>956.92342317712337</v>
      </c>
      <c r="C21" s="72">
        <v>-30096.303183968499</v>
      </c>
      <c r="D21" s="81" t="str">
        <f t="shared" si="0"/>
        <v/>
      </c>
      <c r="E21" s="81" t="str">
        <f t="shared" si="1"/>
        <v/>
      </c>
      <c r="G21" s="72">
        <v>964.23923097222723</v>
      </c>
      <c r="H21" s="72">
        <v>-30096.298462771207</v>
      </c>
    </row>
    <row r="22" spans="2:14">
      <c r="B22" s="72">
        <v>962.07136430584069</v>
      </c>
      <c r="C22" s="72">
        <v>-30096.304126389907</v>
      </c>
      <c r="D22" s="81">
        <f t="shared" si="0"/>
        <v>962.07136430584069</v>
      </c>
      <c r="E22" s="81">
        <f t="shared" si="1"/>
        <v>-30096.304126389907</v>
      </c>
      <c r="G22" s="72">
        <v>964.31287063941454</v>
      </c>
      <c r="H22" s="72">
        <v>-30096.294793363973</v>
      </c>
    </row>
    <row r="23" spans="2:14">
      <c r="B23" s="72">
        <v>964.23923097222723</v>
      </c>
      <c r="C23" s="72">
        <v>-30096.298462771207</v>
      </c>
      <c r="D23" s="81">
        <f t="shared" si="0"/>
        <v>964.23923097222723</v>
      </c>
      <c r="E23" s="81">
        <f t="shared" si="1"/>
        <v>-30096.298462771207</v>
      </c>
      <c r="G23" s="72">
        <v>964.36678227251105</v>
      </c>
      <c r="H23" s="72">
        <v>-30096.287497755984</v>
      </c>
    </row>
    <row r="24" spans="2:14">
      <c r="B24" s="72">
        <v>964.31287063941454</v>
      </c>
      <c r="C24" s="72">
        <v>-30096.294793363973</v>
      </c>
      <c r="D24" s="81">
        <f t="shared" si="0"/>
        <v>964.31287063941454</v>
      </c>
      <c r="E24" s="81">
        <f t="shared" si="1"/>
        <v>-30096.294793363973</v>
      </c>
      <c r="G24" s="72">
        <v>968.74177778779813</v>
      </c>
      <c r="H24" s="72">
        <v>-30095.47327973432</v>
      </c>
    </row>
    <row r="25" spans="2:14">
      <c r="B25" s="72">
        <v>964.36678227251105</v>
      </c>
      <c r="C25" s="72">
        <v>-30096.287497755984</v>
      </c>
      <c r="D25" s="81">
        <f t="shared" si="0"/>
        <v>964.36678227251105</v>
      </c>
      <c r="E25" s="81">
        <f t="shared" si="1"/>
        <v>-30096.287497755984</v>
      </c>
      <c r="G25" s="72">
        <v>968.78174877791298</v>
      </c>
      <c r="H25" s="72">
        <v>-30095.472107597612</v>
      </c>
    </row>
    <row r="26" spans="2:14">
      <c r="B26" s="72">
        <v>968.74177778779813</v>
      </c>
      <c r="C26" s="72">
        <v>-30095.47327973432</v>
      </c>
      <c r="D26" s="81">
        <f t="shared" si="0"/>
        <v>968.74177778779813</v>
      </c>
      <c r="E26" s="81">
        <f t="shared" si="1"/>
        <v>-30095.47327973432</v>
      </c>
      <c r="G26" s="72">
        <v>971.08721549637448</v>
      </c>
      <c r="H26" s="72">
        <v>-30095.357324674795</v>
      </c>
    </row>
    <row r="27" spans="2:14">
      <c r="B27" s="72">
        <v>968.78174877791298</v>
      </c>
      <c r="C27" s="72">
        <v>-30095.472107597612</v>
      </c>
      <c r="D27" s="81">
        <f t="shared" si="0"/>
        <v>968.78174877791298</v>
      </c>
      <c r="E27" s="81">
        <f t="shared" si="1"/>
        <v>-30095.472107597612</v>
      </c>
      <c r="G27" s="72">
        <v>971.25316949658463</v>
      </c>
      <c r="H27" s="72">
        <v>-30095.349062276102</v>
      </c>
    </row>
    <row r="28" spans="2:14">
      <c r="B28" s="72">
        <v>971.08721549637448</v>
      </c>
      <c r="C28" s="72">
        <v>-30095.357324674795</v>
      </c>
      <c r="D28" s="81">
        <f t="shared" si="0"/>
        <v>971.08721549637448</v>
      </c>
      <c r="E28" s="81">
        <f t="shared" si="1"/>
        <v>-30095.357324674795</v>
      </c>
      <c r="G28" s="72">
        <v>971.3483653618714</v>
      </c>
      <c r="H28" s="72">
        <v>-30095.349260544226</v>
      </c>
    </row>
    <row r="29" spans="2:14">
      <c r="B29" s="72">
        <v>971.25316949658463</v>
      </c>
      <c r="C29" s="72">
        <v>-30095.349062276102</v>
      </c>
      <c r="D29" s="81">
        <f t="shared" si="0"/>
        <v>971.25316949658463</v>
      </c>
      <c r="E29" s="81">
        <f t="shared" si="1"/>
        <v>-30095.349062276102</v>
      </c>
      <c r="G29" s="72">
        <v>975.14956186293148</v>
      </c>
      <c r="H29" s="72">
        <v>-30095.357122735677</v>
      </c>
    </row>
    <row r="30" spans="2:14">
      <c r="B30" s="72">
        <v>971.3483653618714</v>
      </c>
      <c r="C30" s="72">
        <v>-30095.349260544226</v>
      </c>
      <c r="D30" s="81">
        <f t="shared" si="0"/>
        <v>971.3483653618714</v>
      </c>
      <c r="E30" s="81">
        <f t="shared" si="1"/>
        <v>-30095.349260544226</v>
      </c>
      <c r="G30" s="72">
        <v>975.24798788758562</v>
      </c>
      <c r="H30" s="72">
        <v>-30095.380244254044</v>
      </c>
      <c r="J30" s="72">
        <v>9</v>
      </c>
    </row>
    <row r="31" spans="2:14">
      <c r="B31" s="72">
        <v>975.14956186293148</v>
      </c>
      <c r="C31" s="72">
        <v>-30095.357122735677</v>
      </c>
      <c r="D31" s="81">
        <f t="shared" si="0"/>
        <v>975.14956186293148</v>
      </c>
      <c r="E31" s="81">
        <f t="shared" si="1"/>
        <v>-30095.357122735677</v>
      </c>
      <c r="G31" s="72">
        <v>978.66666772554254</v>
      </c>
      <c r="H31" s="72">
        <v>-30097.328800759686</v>
      </c>
      <c r="J31" s="72">
        <v>12</v>
      </c>
      <c r="K31" s="72">
        <f>J31-J30</f>
        <v>3</v>
      </c>
    </row>
    <row r="32" spans="2:14">
      <c r="B32" s="72">
        <v>975.24798788758562</v>
      </c>
      <c r="C32" s="72">
        <v>-30095.380244254044</v>
      </c>
      <c r="D32" s="81">
        <f t="shared" si="0"/>
        <v>975.24798788758562</v>
      </c>
      <c r="E32" s="81">
        <f t="shared" si="1"/>
        <v>-30095.380244254044</v>
      </c>
      <c r="G32" s="72">
        <v>978.94241825100653</v>
      </c>
      <c r="H32" s="72">
        <v>-30097.35598851843</v>
      </c>
      <c r="J32" s="72">
        <v>15</v>
      </c>
      <c r="K32" s="72">
        <f>J32-J31</f>
        <v>3</v>
      </c>
    </row>
    <row r="33" spans="2:11">
      <c r="B33" s="72">
        <v>978.66666772554254</v>
      </c>
      <c r="C33" s="72">
        <v>-30097.328800759686</v>
      </c>
      <c r="D33" s="81">
        <f t="shared" si="0"/>
        <v>978.66666772554254</v>
      </c>
      <c r="E33" s="81">
        <f t="shared" si="1"/>
        <v>-30097.328800759686</v>
      </c>
      <c r="J33" s="72">
        <v>18</v>
      </c>
      <c r="K33" s="72">
        <f>J33-J32</f>
        <v>3</v>
      </c>
    </row>
    <row r="34" spans="2:11">
      <c r="B34" s="72">
        <v>978.94241825100653</v>
      </c>
      <c r="C34" s="72">
        <v>-30097.35598851843</v>
      </c>
      <c r="D34" s="81">
        <f t="shared" si="0"/>
        <v>978.94241825100653</v>
      </c>
      <c r="E34" s="81">
        <f t="shared" si="1"/>
        <v>-30097.35598851843</v>
      </c>
      <c r="J34" s="72">
        <v>21</v>
      </c>
      <c r="K34" s="72">
        <f>J34-J33</f>
        <v>3</v>
      </c>
    </row>
    <row r="35" spans="2:11">
      <c r="B35" s="72">
        <v>984.7884342627267</v>
      </c>
      <c r="C35" s="72">
        <v>-30096.778441934159</v>
      </c>
      <c r="D35" s="81" t="str">
        <f t="shared" si="0"/>
        <v/>
      </c>
      <c r="E35" s="81" t="str">
        <f t="shared" si="1"/>
        <v/>
      </c>
      <c r="J35" s="72">
        <v>24</v>
      </c>
      <c r="K35" s="72">
        <f>J35-J34</f>
        <v>3</v>
      </c>
    </row>
    <row r="36" spans="2:11">
      <c r="B36" s="72">
        <v>985.03014381995945</v>
      </c>
      <c r="C36" s="72">
        <v>-30096.791642265707</v>
      </c>
      <c r="D36" s="81" t="str">
        <f t="shared" si="0"/>
        <v/>
      </c>
      <c r="E36" s="81" t="str">
        <f t="shared" si="1"/>
        <v/>
      </c>
    </row>
    <row r="37" spans="2:11">
      <c r="B37" s="72">
        <v>989.3036049604525</v>
      </c>
      <c r="C37" s="72">
        <v>-30096.608683279708</v>
      </c>
      <c r="D37" s="81" t="str">
        <f t="shared" si="0"/>
        <v/>
      </c>
      <c r="E37" s="81" t="str">
        <f t="shared" si="1"/>
        <v/>
      </c>
    </row>
    <row r="38" spans="2:11">
      <c r="D38" s="81" t="str">
        <f t="shared" si="0"/>
        <v/>
      </c>
      <c r="E38" s="81" t="str">
        <f t="shared" si="1"/>
        <v/>
      </c>
    </row>
    <row r="39" spans="2:11">
      <c r="D39" s="81" t="str">
        <f t="shared" si="0"/>
        <v/>
      </c>
      <c r="E39" s="81" t="str">
        <f t="shared" si="1"/>
        <v/>
      </c>
    </row>
    <row r="40" spans="2:11">
      <c r="D40" s="81" t="str">
        <f t="shared" si="0"/>
        <v/>
      </c>
      <c r="E40" s="81" t="str">
        <f t="shared" si="1"/>
        <v/>
      </c>
    </row>
    <row r="41" spans="2:11">
      <c r="D41" s="81" t="str">
        <f t="shared" si="0"/>
        <v/>
      </c>
      <c r="E41" s="81" t="str">
        <f t="shared" si="1"/>
        <v/>
      </c>
    </row>
    <row r="42" spans="2:11">
      <c r="D42" s="81" t="str">
        <f t="shared" si="0"/>
        <v/>
      </c>
      <c r="E42" s="81" t="str">
        <f t="shared" si="1"/>
        <v/>
      </c>
    </row>
    <row r="43" spans="2:11">
      <c r="D43" s="81" t="str">
        <f t="shared" si="0"/>
        <v/>
      </c>
      <c r="E43" s="81" t="str">
        <f t="shared" si="1"/>
        <v/>
      </c>
    </row>
    <row r="44" spans="2:11">
      <c r="D44" s="81" t="str">
        <f t="shared" si="0"/>
        <v/>
      </c>
      <c r="E44" s="81" t="str">
        <f t="shared" si="1"/>
        <v/>
      </c>
    </row>
    <row r="45" spans="2:11">
      <c r="D45" s="81" t="str">
        <f t="shared" si="0"/>
        <v/>
      </c>
      <c r="E45" s="81" t="str">
        <f t="shared" si="1"/>
        <v/>
      </c>
    </row>
    <row r="46" spans="2:11">
      <c r="D46" s="81" t="str">
        <f t="shared" si="0"/>
        <v/>
      </c>
      <c r="E46" s="81" t="str">
        <f t="shared" si="1"/>
        <v/>
      </c>
    </row>
    <row r="47" spans="2:11">
      <c r="D47" s="81" t="str">
        <f t="shared" si="0"/>
        <v/>
      </c>
      <c r="E47" s="81" t="str">
        <f t="shared" si="1"/>
        <v/>
      </c>
    </row>
    <row r="48" spans="2:11">
      <c r="D48" s="81" t="str">
        <f t="shared" si="0"/>
        <v/>
      </c>
      <c r="E48" s="81" t="str">
        <f t="shared" si="1"/>
        <v/>
      </c>
    </row>
    <row r="49" spans="4:5">
      <c r="D49" s="81" t="str">
        <f t="shared" si="0"/>
        <v/>
      </c>
      <c r="E49" s="81" t="str">
        <f t="shared" si="1"/>
        <v/>
      </c>
    </row>
    <row r="50" spans="4:5">
      <c r="D50" s="81" t="str">
        <f t="shared" si="0"/>
        <v/>
      </c>
      <c r="E50" s="81" t="str">
        <f t="shared" si="1"/>
        <v/>
      </c>
    </row>
    <row r="51" spans="4:5">
      <c r="D51" s="81" t="str">
        <f t="shared" si="0"/>
        <v/>
      </c>
      <c r="E51" s="81" t="str">
        <f t="shared" si="1"/>
        <v/>
      </c>
    </row>
    <row r="52" spans="4:5">
      <c r="D52" s="81" t="str">
        <f t="shared" si="0"/>
        <v/>
      </c>
      <c r="E52" s="81" t="str">
        <f t="shared" si="1"/>
        <v/>
      </c>
    </row>
    <row r="53" spans="4:5">
      <c r="D53" s="81" t="str">
        <f t="shared" si="0"/>
        <v/>
      </c>
      <c r="E53" s="81" t="str">
        <f t="shared" si="1"/>
        <v/>
      </c>
    </row>
    <row r="54" spans="4:5">
      <c r="D54" s="81" t="str">
        <f t="shared" si="0"/>
        <v/>
      </c>
      <c r="E54" s="81" t="str">
        <f t="shared" si="1"/>
        <v/>
      </c>
    </row>
    <row r="55" spans="4:5">
      <c r="D55" s="81" t="str">
        <f t="shared" si="0"/>
        <v/>
      </c>
      <c r="E55" s="81" t="str">
        <f t="shared" si="1"/>
        <v/>
      </c>
    </row>
    <row r="56" spans="4:5">
      <c r="D56" s="81" t="str">
        <f t="shared" si="0"/>
        <v/>
      </c>
      <c r="E56" s="81" t="str">
        <f t="shared" si="1"/>
        <v/>
      </c>
    </row>
    <row r="57" spans="4:5">
      <c r="D57" s="81" t="str">
        <f t="shared" si="0"/>
        <v/>
      </c>
      <c r="E57" s="81" t="str">
        <f t="shared" si="1"/>
        <v/>
      </c>
    </row>
    <row r="58" spans="4:5">
      <c r="D58" s="81" t="str">
        <f t="shared" si="0"/>
        <v/>
      </c>
      <c r="E58" s="81" t="str">
        <f t="shared" si="1"/>
        <v/>
      </c>
    </row>
    <row r="59" spans="4:5">
      <c r="D59" s="81" t="str">
        <f t="shared" si="0"/>
        <v/>
      </c>
      <c r="E59" s="81" t="str">
        <f t="shared" si="1"/>
        <v/>
      </c>
    </row>
    <row r="60" spans="4:5">
      <c r="D60" s="81" t="str">
        <f t="shared" si="0"/>
        <v/>
      </c>
      <c r="E60" s="81" t="str">
        <f t="shared" si="1"/>
        <v/>
      </c>
    </row>
    <row r="61" spans="4:5">
      <c r="D61" s="81" t="str">
        <f t="shared" si="0"/>
        <v/>
      </c>
      <c r="E61" s="81" t="str">
        <f t="shared" si="1"/>
        <v/>
      </c>
    </row>
    <row r="62" spans="4:5">
      <c r="D62" s="81" t="str">
        <f t="shared" si="0"/>
        <v/>
      </c>
      <c r="E62" s="81" t="str">
        <f t="shared" si="1"/>
        <v/>
      </c>
    </row>
    <row r="63" spans="4:5">
      <c r="D63" s="81" t="str">
        <f t="shared" si="0"/>
        <v/>
      </c>
      <c r="E63" s="81" t="str">
        <f t="shared" si="1"/>
        <v/>
      </c>
    </row>
    <row r="64" spans="4:5">
      <c r="D64" s="81" t="str">
        <f t="shared" si="0"/>
        <v/>
      </c>
      <c r="E64" s="81" t="str">
        <f t="shared" si="1"/>
        <v/>
      </c>
    </row>
    <row r="65" spans="4:5">
      <c r="D65" s="81" t="str">
        <f t="shared" si="0"/>
        <v/>
      </c>
      <c r="E65" s="81" t="str">
        <f t="shared" si="1"/>
        <v/>
      </c>
    </row>
    <row r="66" spans="4:5">
      <c r="D66" s="81" t="str">
        <f t="shared" si="0"/>
        <v/>
      </c>
      <c r="E66" s="81" t="str">
        <f t="shared" si="1"/>
        <v/>
      </c>
    </row>
    <row r="67" spans="4:5">
      <c r="D67" s="81" t="str">
        <f t="shared" si="0"/>
        <v/>
      </c>
      <c r="E67" s="81" t="str">
        <f t="shared" si="1"/>
        <v/>
      </c>
    </row>
    <row r="68" spans="4:5">
      <c r="D68" s="81" t="str">
        <f t="shared" si="0"/>
        <v/>
      </c>
      <c r="E68" s="81" t="str">
        <f t="shared" si="1"/>
        <v/>
      </c>
    </row>
    <row r="69" spans="4:5">
      <c r="D69" s="81" t="str">
        <f t="shared" si="0"/>
        <v/>
      </c>
      <c r="E69" s="81" t="str">
        <f t="shared" si="1"/>
        <v/>
      </c>
    </row>
    <row r="70" spans="4:5">
      <c r="D70" s="81" t="str">
        <f t="shared" si="0"/>
        <v/>
      </c>
      <c r="E70" s="81" t="str">
        <f t="shared" si="1"/>
        <v/>
      </c>
    </row>
    <row r="71" spans="4:5">
      <c r="D71" s="81" t="str">
        <f t="shared" si="0"/>
        <v/>
      </c>
      <c r="E71" s="81" t="str">
        <f t="shared" si="1"/>
        <v/>
      </c>
    </row>
    <row r="72" spans="4:5">
      <c r="D72" s="81" t="str">
        <f t="shared" si="0"/>
        <v/>
      </c>
      <c r="E72" s="81" t="str">
        <f t="shared" si="1"/>
        <v/>
      </c>
    </row>
    <row r="73" spans="4:5">
      <c r="D73" s="81" t="str">
        <f t="shared" si="0"/>
        <v/>
      </c>
      <c r="E73" s="81" t="str">
        <f t="shared" si="1"/>
        <v/>
      </c>
    </row>
    <row r="74" spans="4:5">
      <c r="D74" s="81" t="str">
        <f t="shared" si="0"/>
        <v/>
      </c>
      <c r="E74" s="81" t="str">
        <f t="shared" si="1"/>
        <v/>
      </c>
    </row>
    <row r="75" spans="4:5">
      <c r="D75" s="81" t="str">
        <f t="shared" si="0"/>
        <v/>
      </c>
      <c r="E75" s="81" t="str">
        <f t="shared" si="1"/>
        <v/>
      </c>
    </row>
    <row r="76" spans="4:5">
      <c r="D76" s="81" t="str">
        <f t="shared" si="0"/>
        <v/>
      </c>
      <c r="E76" s="81" t="str">
        <f t="shared" si="1"/>
        <v/>
      </c>
    </row>
    <row r="77" spans="4:5">
      <c r="D77" s="81" t="str">
        <f t="shared" si="0"/>
        <v/>
      </c>
      <c r="E77" s="81" t="str">
        <f t="shared" si="1"/>
        <v/>
      </c>
    </row>
    <row r="78" spans="4:5">
      <c r="D78" s="81" t="str">
        <f t="shared" si="0"/>
        <v/>
      </c>
      <c r="E78" s="81" t="str">
        <f t="shared" si="1"/>
        <v/>
      </c>
    </row>
    <row r="79" spans="4:5">
      <c r="D79" s="81" t="str">
        <f t="shared" si="0"/>
        <v/>
      </c>
      <c r="E79" s="81" t="str">
        <f t="shared" si="1"/>
        <v/>
      </c>
    </row>
    <row r="80" spans="4:5">
      <c r="D80" s="81" t="str">
        <f t="shared" si="0"/>
        <v/>
      </c>
      <c r="E80" s="81" t="str">
        <f t="shared" si="1"/>
        <v/>
      </c>
    </row>
    <row r="81" spans="4:5">
      <c r="D81" s="81" t="str">
        <f t="shared" si="0"/>
        <v/>
      </c>
      <c r="E81" s="81" t="str">
        <f t="shared" si="1"/>
        <v/>
      </c>
    </row>
    <row r="82" spans="4:5">
      <c r="D82" s="81" t="str">
        <f t="shared" si="0"/>
        <v/>
      </c>
      <c r="E82" s="81" t="str">
        <f t="shared" si="1"/>
        <v/>
      </c>
    </row>
    <row r="83" spans="4:5">
      <c r="D83" s="81" t="str">
        <f t="shared" si="0"/>
        <v/>
      </c>
      <c r="E83" s="81" t="str">
        <f t="shared" si="1"/>
        <v/>
      </c>
    </row>
    <row r="84" spans="4:5">
      <c r="D84" s="81" t="str">
        <f t="shared" ref="D84:D147" si="2">IF(B84&gt;$B$4,IF(B84&lt;$B$5,B84,""),"")</f>
        <v/>
      </c>
      <c r="E84" s="81" t="str">
        <f t="shared" ref="E84:E147" si="3">IF(D84="","",C84)</f>
        <v/>
      </c>
    </row>
    <row r="85" spans="4:5">
      <c r="D85" s="81" t="str">
        <f t="shared" si="2"/>
        <v/>
      </c>
      <c r="E85" s="81" t="str">
        <f t="shared" si="3"/>
        <v/>
      </c>
    </row>
    <row r="86" spans="4:5">
      <c r="D86" s="81" t="str">
        <f t="shared" si="2"/>
        <v/>
      </c>
      <c r="E86" s="81" t="str">
        <f t="shared" si="3"/>
        <v/>
      </c>
    </row>
    <row r="87" spans="4:5">
      <c r="D87" s="81" t="str">
        <f t="shared" si="2"/>
        <v/>
      </c>
      <c r="E87" s="81" t="str">
        <f t="shared" si="3"/>
        <v/>
      </c>
    </row>
    <row r="88" spans="4:5">
      <c r="D88" s="81" t="str">
        <f t="shared" si="2"/>
        <v/>
      </c>
      <c r="E88" s="81" t="str">
        <f t="shared" si="3"/>
        <v/>
      </c>
    </row>
    <row r="89" spans="4:5">
      <c r="D89" s="81" t="str">
        <f t="shared" si="2"/>
        <v/>
      </c>
      <c r="E89" s="81" t="str">
        <f t="shared" si="3"/>
        <v/>
      </c>
    </row>
    <row r="90" spans="4:5">
      <c r="D90" s="81" t="str">
        <f t="shared" si="2"/>
        <v/>
      </c>
      <c r="E90" s="81" t="str">
        <f t="shared" si="3"/>
        <v/>
      </c>
    </row>
    <row r="91" spans="4:5">
      <c r="D91" s="81" t="str">
        <f t="shared" si="2"/>
        <v/>
      </c>
      <c r="E91" s="81" t="str">
        <f t="shared" si="3"/>
        <v/>
      </c>
    </row>
    <row r="92" spans="4:5">
      <c r="D92" s="81" t="str">
        <f t="shared" si="2"/>
        <v/>
      </c>
      <c r="E92" s="81" t="str">
        <f t="shared" si="3"/>
        <v/>
      </c>
    </row>
    <row r="93" spans="4:5">
      <c r="D93" s="81" t="str">
        <f t="shared" si="2"/>
        <v/>
      </c>
      <c r="E93" s="81" t="str">
        <f t="shared" si="3"/>
        <v/>
      </c>
    </row>
    <row r="94" spans="4:5">
      <c r="D94" s="81" t="str">
        <f t="shared" si="2"/>
        <v/>
      </c>
      <c r="E94" s="81" t="str">
        <f t="shared" si="3"/>
        <v/>
      </c>
    </row>
    <row r="95" spans="4:5">
      <c r="D95" s="81" t="str">
        <f t="shared" si="2"/>
        <v/>
      </c>
      <c r="E95" s="81" t="str">
        <f t="shared" si="3"/>
        <v/>
      </c>
    </row>
    <row r="96" spans="4:5">
      <c r="D96" s="81" t="str">
        <f t="shared" si="2"/>
        <v/>
      </c>
      <c r="E96" s="81" t="str">
        <f t="shared" si="3"/>
        <v/>
      </c>
    </row>
    <row r="97" spans="4:5">
      <c r="D97" s="81" t="str">
        <f t="shared" si="2"/>
        <v/>
      </c>
      <c r="E97" s="81" t="str">
        <f t="shared" si="3"/>
        <v/>
      </c>
    </row>
    <row r="98" spans="4:5">
      <c r="D98" s="81" t="str">
        <f t="shared" si="2"/>
        <v/>
      </c>
      <c r="E98" s="81" t="str">
        <f t="shared" si="3"/>
        <v/>
      </c>
    </row>
    <row r="99" spans="4:5">
      <c r="D99" s="81" t="str">
        <f t="shared" si="2"/>
        <v/>
      </c>
      <c r="E99" s="81" t="str">
        <f t="shared" si="3"/>
        <v/>
      </c>
    </row>
    <row r="100" spans="4:5">
      <c r="D100" s="81" t="str">
        <f t="shared" si="2"/>
        <v/>
      </c>
      <c r="E100" s="81" t="str">
        <f t="shared" si="3"/>
        <v/>
      </c>
    </row>
    <row r="101" spans="4:5">
      <c r="D101" s="81" t="str">
        <f t="shared" si="2"/>
        <v/>
      </c>
      <c r="E101" s="81" t="str">
        <f t="shared" si="3"/>
        <v/>
      </c>
    </row>
    <row r="102" spans="4:5">
      <c r="D102" s="81" t="str">
        <f t="shared" si="2"/>
        <v/>
      </c>
      <c r="E102" s="81" t="str">
        <f t="shared" si="3"/>
        <v/>
      </c>
    </row>
    <row r="103" spans="4:5">
      <c r="D103" s="81" t="str">
        <f t="shared" si="2"/>
        <v/>
      </c>
      <c r="E103" s="81" t="str">
        <f t="shared" si="3"/>
        <v/>
      </c>
    </row>
    <row r="104" spans="4:5">
      <c r="D104" s="81" t="str">
        <f t="shared" si="2"/>
        <v/>
      </c>
      <c r="E104" s="81" t="str">
        <f t="shared" si="3"/>
        <v/>
      </c>
    </row>
    <row r="105" spans="4:5">
      <c r="D105" s="81" t="str">
        <f t="shared" si="2"/>
        <v/>
      </c>
      <c r="E105" s="81" t="str">
        <f t="shared" si="3"/>
        <v/>
      </c>
    </row>
    <row r="106" spans="4:5">
      <c r="D106" s="81" t="str">
        <f t="shared" si="2"/>
        <v/>
      </c>
      <c r="E106" s="81" t="str">
        <f t="shared" si="3"/>
        <v/>
      </c>
    </row>
    <row r="107" spans="4:5">
      <c r="D107" s="81" t="str">
        <f t="shared" si="2"/>
        <v/>
      </c>
      <c r="E107" s="81" t="str">
        <f t="shared" si="3"/>
        <v/>
      </c>
    </row>
    <row r="108" spans="4:5">
      <c r="D108" s="81" t="str">
        <f t="shared" si="2"/>
        <v/>
      </c>
      <c r="E108" s="81" t="str">
        <f t="shared" si="3"/>
        <v/>
      </c>
    </row>
    <row r="109" spans="4:5">
      <c r="D109" s="81" t="str">
        <f t="shared" si="2"/>
        <v/>
      </c>
      <c r="E109" s="81" t="str">
        <f t="shared" si="3"/>
        <v/>
      </c>
    </row>
    <row r="110" spans="4:5">
      <c r="D110" s="81" t="str">
        <f t="shared" si="2"/>
        <v/>
      </c>
      <c r="E110" s="81" t="str">
        <f t="shared" si="3"/>
        <v/>
      </c>
    </row>
    <row r="111" spans="4:5">
      <c r="D111" s="81" t="str">
        <f t="shared" si="2"/>
        <v/>
      </c>
      <c r="E111" s="81" t="str">
        <f t="shared" si="3"/>
        <v/>
      </c>
    </row>
    <row r="112" spans="4:5">
      <c r="D112" s="81" t="str">
        <f t="shared" si="2"/>
        <v/>
      </c>
      <c r="E112" s="81" t="str">
        <f t="shared" si="3"/>
        <v/>
      </c>
    </row>
    <row r="113" spans="4:5">
      <c r="D113" s="72" t="str">
        <f t="shared" si="2"/>
        <v/>
      </c>
      <c r="E113" s="72" t="str">
        <f t="shared" si="3"/>
        <v/>
      </c>
    </row>
    <row r="114" spans="4:5">
      <c r="D114" s="72" t="str">
        <f t="shared" si="2"/>
        <v/>
      </c>
      <c r="E114" s="72" t="str">
        <f t="shared" si="3"/>
        <v/>
      </c>
    </row>
    <row r="115" spans="4:5">
      <c r="D115" s="72" t="str">
        <f t="shared" si="2"/>
        <v/>
      </c>
      <c r="E115" s="72" t="str">
        <f t="shared" si="3"/>
        <v/>
      </c>
    </row>
    <row r="116" spans="4:5">
      <c r="D116" s="72" t="str">
        <f t="shared" si="2"/>
        <v/>
      </c>
      <c r="E116" s="72" t="str">
        <f t="shared" si="3"/>
        <v/>
      </c>
    </row>
    <row r="117" spans="4:5">
      <c r="D117" s="72" t="str">
        <f t="shared" si="2"/>
        <v/>
      </c>
      <c r="E117" s="72" t="str">
        <f t="shared" si="3"/>
        <v/>
      </c>
    </row>
    <row r="118" spans="4:5">
      <c r="D118" s="72" t="str">
        <f t="shared" si="2"/>
        <v/>
      </c>
      <c r="E118" s="72" t="str">
        <f t="shared" si="3"/>
        <v/>
      </c>
    </row>
    <row r="119" spans="4:5">
      <c r="D119" s="72" t="str">
        <f t="shared" si="2"/>
        <v/>
      </c>
      <c r="E119" s="72" t="str">
        <f t="shared" si="3"/>
        <v/>
      </c>
    </row>
    <row r="120" spans="4:5">
      <c r="D120" s="72" t="str">
        <f t="shared" si="2"/>
        <v/>
      </c>
      <c r="E120" s="72" t="str">
        <f t="shared" si="3"/>
        <v/>
      </c>
    </row>
    <row r="121" spans="4:5">
      <c r="D121" s="72" t="str">
        <f t="shared" si="2"/>
        <v/>
      </c>
      <c r="E121" s="72" t="str">
        <f t="shared" si="3"/>
        <v/>
      </c>
    </row>
    <row r="122" spans="4:5">
      <c r="D122" s="72" t="str">
        <f t="shared" si="2"/>
        <v/>
      </c>
      <c r="E122" s="72" t="str">
        <f t="shared" si="3"/>
        <v/>
      </c>
    </row>
    <row r="123" spans="4:5">
      <c r="D123" s="72" t="str">
        <f t="shared" si="2"/>
        <v/>
      </c>
      <c r="E123" s="72" t="str">
        <f t="shared" si="3"/>
        <v/>
      </c>
    </row>
    <row r="124" spans="4:5">
      <c r="D124" s="72" t="str">
        <f t="shared" si="2"/>
        <v/>
      </c>
      <c r="E124" s="72" t="str">
        <f t="shared" si="3"/>
        <v/>
      </c>
    </row>
    <row r="125" spans="4:5">
      <c r="D125" s="72" t="str">
        <f t="shared" si="2"/>
        <v/>
      </c>
      <c r="E125" s="72" t="str">
        <f t="shared" si="3"/>
        <v/>
      </c>
    </row>
    <row r="126" spans="4:5">
      <c r="D126" s="72" t="str">
        <f t="shared" si="2"/>
        <v/>
      </c>
      <c r="E126" s="72" t="str">
        <f t="shared" si="3"/>
        <v/>
      </c>
    </row>
    <row r="127" spans="4:5">
      <c r="D127" s="72" t="str">
        <f t="shared" si="2"/>
        <v/>
      </c>
      <c r="E127" s="72" t="str">
        <f t="shared" si="3"/>
        <v/>
      </c>
    </row>
    <row r="128" spans="4:5">
      <c r="D128" s="72" t="str">
        <f t="shared" si="2"/>
        <v/>
      </c>
      <c r="E128" s="72" t="str">
        <f t="shared" si="3"/>
        <v/>
      </c>
    </row>
    <row r="129" spans="4:5">
      <c r="D129" s="72" t="str">
        <f t="shared" si="2"/>
        <v/>
      </c>
      <c r="E129" s="72" t="str">
        <f t="shared" si="3"/>
        <v/>
      </c>
    </row>
    <row r="130" spans="4:5">
      <c r="D130" s="72" t="str">
        <f t="shared" si="2"/>
        <v/>
      </c>
      <c r="E130" s="72" t="str">
        <f t="shared" si="3"/>
        <v/>
      </c>
    </row>
    <row r="131" spans="4:5">
      <c r="D131" s="72" t="str">
        <f t="shared" si="2"/>
        <v/>
      </c>
      <c r="E131" s="72" t="str">
        <f t="shared" si="3"/>
        <v/>
      </c>
    </row>
    <row r="132" spans="4:5">
      <c r="D132" s="72" t="str">
        <f t="shared" si="2"/>
        <v/>
      </c>
      <c r="E132" s="72" t="str">
        <f t="shared" si="3"/>
        <v/>
      </c>
    </row>
    <row r="133" spans="4:5">
      <c r="D133" s="72" t="str">
        <f t="shared" si="2"/>
        <v/>
      </c>
      <c r="E133" s="72" t="str">
        <f t="shared" si="3"/>
        <v/>
      </c>
    </row>
    <row r="134" spans="4:5">
      <c r="D134" s="72" t="str">
        <f t="shared" si="2"/>
        <v/>
      </c>
      <c r="E134" s="72" t="str">
        <f t="shared" si="3"/>
        <v/>
      </c>
    </row>
    <row r="135" spans="4:5">
      <c r="D135" s="72" t="str">
        <f t="shared" si="2"/>
        <v/>
      </c>
      <c r="E135" s="72" t="str">
        <f t="shared" si="3"/>
        <v/>
      </c>
    </row>
    <row r="136" spans="4:5">
      <c r="D136" s="72" t="str">
        <f t="shared" si="2"/>
        <v/>
      </c>
      <c r="E136" s="72" t="str">
        <f t="shared" si="3"/>
        <v/>
      </c>
    </row>
    <row r="137" spans="4:5">
      <c r="D137" s="72" t="str">
        <f t="shared" si="2"/>
        <v/>
      </c>
      <c r="E137" s="72" t="str">
        <f t="shared" si="3"/>
        <v/>
      </c>
    </row>
    <row r="138" spans="4:5">
      <c r="D138" s="72" t="str">
        <f t="shared" si="2"/>
        <v/>
      </c>
      <c r="E138" s="72" t="str">
        <f t="shared" si="3"/>
        <v/>
      </c>
    </row>
    <row r="139" spans="4:5">
      <c r="D139" s="72" t="str">
        <f t="shared" si="2"/>
        <v/>
      </c>
      <c r="E139" s="72" t="str">
        <f t="shared" si="3"/>
        <v/>
      </c>
    </row>
    <row r="140" spans="4:5">
      <c r="D140" s="72" t="str">
        <f t="shared" si="2"/>
        <v/>
      </c>
      <c r="E140" s="72" t="str">
        <f t="shared" si="3"/>
        <v/>
      </c>
    </row>
    <row r="141" spans="4:5">
      <c r="D141" s="72" t="str">
        <f t="shared" si="2"/>
        <v/>
      </c>
      <c r="E141" s="72" t="str">
        <f t="shared" si="3"/>
        <v/>
      </c>
    </row>
    <row r="142" spans="4:5">
      <c r="D142" s="72" t="str">
        <f t="shared" si="2"/>
        <v/>
      </c>
      <c r="E142" s="72" t="str">
        <f t="shared" si="3"/>
        <v/>
      </c>
    </row>
    <row r="143" spans="4:5">
      <c r="D143" s="72" t="str">
        <f t="shared" si="2"/>
        <v/>
      </c>
      <c r="E143" s="72" t="str">
        <f t="shared" si="3"/>
        <v/>
      </c>
    </row>
    <row r="144" spans="4:5">
      <c r="D144" s="72" t="str">
        <f t="shared" si="2"/>
        <v/>
      </c>
      <c r="E144" s="72" t="str">
        <f t="shared" si="3"/>
        <v/>
      </c>
    </row>
    <row r="145" spans="4:5">
      <c r="D145" s="72" t="str">
        <f t="shared" si="2"/>
        <v/>
      </c>
      <c r="E145" s="72" t="str">
        <f t="shared" si="3"/>
        <v/>
      </c>
    </row>
    <row r="146" spans="4:5">
      <c r="D146" s="72" t="str">
        <f t="shared" si="2"/>
        <v/>
      </c>
      <c r="E146" s="72" t="str">
        <f t="shared" si="3"/>
        <v/>
      </c>
    </row>
    <row r="147" spans="4:5">
      <c r="D147" s="72" t="str">
        <f t="shared" si="2"/>
        <v/>
      </c>
      <c r="E147" s="72" t="str">
        <f t="shared" si="3"/>
        <v/>
      </c>
    </row>
    <row r="148" spans="4:5">
      <c r="D148" s="72" t="str">
        <f t="shared" ref="D148:D211" si="4">IF(B148&gt;$B$4,IF(B148&lt;$B$5,B148,""),"")</f>
        <v/>
      </c>
      <c r="E148" s="72" t="str">
        <f t="shared" ref="E148:E211" si="5">IF(D148="","",C148)</f>
        <v/>
      </c>
    </row>
    <row r="149" spans="4:5">
      <c r="D149" s="72" t="str">
        <f t="shared" si="4"/>
        <v/>
      </c>
      <c r="E149" s="72" t="str">
        <f t="shared" si="5"/>
        <v/>
      </c>
    </row>
    <row r="150" spans="4:5">
      <c r="D150" s="72" t="str">
        <f t="shared" si="4"/>
        <v/>
      </c>
      <c r="E150" s="72" t="str">
        <f t="shared" si="5"/>
        <v/>
      </c>
    </row>
    <row r="151" spans="4:5">
      <c r="D151" s="72" t="str">
        <f t="shared" si="4"/>
        <v/>
      </c>
      <c r="E151" s="72" t="str">
        <f t="shared" si="5"/>
        <v/>
      </c>
    </row>
    <row r="152" spans="4:5">
      <c r="D152" s="72" t="str">
        <f t="shared" si="4"/>
        <v/>
      </c>
      <c r="E152" s="72" t="str">
        <f t="shared" si="5"/>
        <v/>
      </c>
    </row>
    <row r="153" spans="4:5">
      <c r="D153" s="72" t="str">
        <f t="shared" si="4"/>
        <v/>
      </c>
      <c r="E153" s="72" t="str">
        <f t="shared" si="5"/>
        <v/>
      </c>
    </row>
    <row r="154" spans="4:5">
      <c r="D154" s="72" t="str">
        <f t="shared" si="4"/>
        <v/>
      </c>
      <c r="E154" s="72" t="str">
        <f t="shared" si="5"/>
        <v/>
      </c>
    </row>
    <row r="155" spans="4:5">
      <c r="D155" s="72" t="str">
        <f t="shared" si="4"/>
        <v/>
      </c>
      <c r="E155" s="72" t="str">
        <f t="shared" si="5"/>
        <v/>
      </c>
    </row>
    <row r="156" spans="4:5">
      <c r="D156" s="72" t="str">
        <f t="shared" si="4"/>
        <v/>
      </c>
      <c r="E156" s="72" t="str">
        <f t="shared" si="5"/>
        <v/>
      </c>
    </row>
    <row r="157" spans="4:5">
      <c r="D157" s="72" t="str">
        <f t="shared" si="4"/>
        <v/>
      </c>
      <c r="E157" s="72" t="str">
        <f t="shared" si="5"/>
        <v/>
      </c>
    </row>
    <row r="158" spans="4:5">
      <c r="D158" s="72" t="str">
        <f t="shared" si="4"/>
        <v/>
      </c>
      <c r="E158" s="72" t="str">
        <f t="shared" si="5"/>
        <v/>
      </c>
    </row>
    <row r="159" spans="4:5">
      <c r="D159" s="72" t="str">
        <f t="shared" si="4"/>
        <v/>
      </c>
      <c r="E159" s="72" t="str">
        <f t="shared" si="5"/>
        <v/>
      </c>
    </row>
    <row r="160" spans="4:5">
      <c r="D160" s="72" t="str">
        <f t="shared" si="4"/>
        <v/>
      </c>
      <c r="E160" s="72" t="str">
        <f t="shared" si="5"/>
        <v/>
      </c>
    </row>
    <row r="161" spans="4:5">
      <c r="D161" s="72" t="str">
        <f t="shared" si="4"/>
        <v/>
      </c>
      <c r="E161" s="72" t="str">
        <f t="shared" si="5"/>
        <v/>
      </c>
    </row>
    <row r="162" spans="4:5">
      <c r="D162" s="72" t="str">
        <f t="shared" si="4"/>
        <v/>
      </c>
      <c r="E162" s="72" t="str">
        <f t="shared" si="5"/>
        <v/>
      </c>
    </row>
    <row r="163" spans="4:5">
      <c r="D163" s="72" t="str">
        <f t="shared" si="4"/>
        <v/>
      </c>
      <c r="E163" s="72" t="str">
        <f t="shared" si="5"/>
        <v/>
      </c>
    </row>
    <row r="164" spans="4:5">
      <c r="D164" s="72" t="str">
        <f t="shared" si="4"/>
        <v/>
      </c>
      <c r="E164" s="72" t="str">
        <f t="shared" si="5"/>
        <v/>
      </c>
    </row>
    <row r="165" spans="4:5">
      <c r="D165" s="72" t="str">
        <f t="shared" si="4"/>
        <v/>
      </c>
      <c r="E165" s="72" t="str">
        <f t="shared" si="5"/>
        <v/>
      </c>
    </row>
    <row r="166" spans="4:5">
      <c r="D166" s="72" t="str">
        <f t="shared" si="4"/>
        <v/>
      </c>
      <c r="E166" s="72" t="str">
        <f t="shared" si="5"/>
        <v/>
      </c>
    </row>
    <row r="167" spans="4:5">
      <c r="D167" s="72" t="str">
        <f t="shared" si="4"/>
        <v/>
      </c>
      <c r="E167" s="72" t="str">
        <f t="shared" si="5"/>
        <v/>
      </c>
    </row>
    <row r="168" spans="4:5">
      <c r="D168" s="72" t="str">
        <f t="shared" si="4"/>
        <v/>
      </c>
      <c r="E168" s="72" t="str">
        <f t="shared" si="5"/>
        <v/>
      </c>
    </row>
    <row r="169" spans="4:5">
      <c r="D169" s="72" t="str">
        <f t="shared" si="4"/>
        <v/>
      </c>
      <c r="E169" s="72" t="str">
        <f t="shared" si="5"/>
        <v/>
      </c>
    </row>
    <row r="170" spans="4:5">
      <c r="D170" s="72" t="str">
        <f t="shared" si="4"/>
        <v/>
      </c>
      <c r="E170" s="72" t="str">
        <f t="shared" si="5"/>
        <v/>
      </c>
    </row>
    <row r="171" spans="4:5">
      <c r="D171" s="72" t="str">
        <f t="shared" si="4"/>
        <v/>
      </c>
      <c r="E171" s="72" t="str">
        <f t="shared" si="5"/>
        <v/>
      </c>
    </row>
    <row r="172" spans="4:5">
      <c r="D172" s="72" t="str">
        <f t="shared" si="4"/>
        <v/>
      </c>
      <c r="E172" s="72" t="str">
        <f t="shared" si="5"/>
        <v/>
      </c>
    </row>
    <row r="173" spans="4:5">
      <c r="D173" s="72" t="str">
        <f t="shared" si="4"/>
        <v/>
      </c>
      <c r="E173" s="72" t="str">
        <f t="shared" si="5"/>
        <v/>
      </c>
    </row>
    <row r="174" spans="4:5">
      <c r="D174" s="72" t="str">
        <f t="shared" si="4"/>
        <v/>
      </c>
      <c r="E174" s="72" t="str">
        <f t="shared" si="5"/>
        <v/>
      </c>
    </row>
    <row r="175" spans="4:5">
      <c r="D175" s="72" t="str">
        <f t="shared" si="4"/>
        <v/>
      </c>
      <c r="E175" s="72" t="str">
        <f t="shared" si="5"/>
        <v/>
      </c>
    </row>
    <row r="176" spans="4:5">
      <c r="D176" s="72" t="str">
        <f t="shared" si="4"/>
        <v/>
      </c>
      <c r="E176" s="72" t="str">
        <f t="shared" si="5"/>
        <v/>
      </c>
    </row>
    <row r="177" spans="4:5">
      <c r="D177" s="72" t="str">
        <f t="shared" si="4"/>
        <v/>
      </c>
      <c r="E177" s="72" t="str">
        <f t="shared" si="5"/>
        <v/>
      </c>
    </row>
    <row r="178" spans="4:5">
      <c r="D178" s="72" t="str">
        <f t="shared" si="4"/>
        <v/>
      </c>
      <c r="E178" s="72" t="str">
        <f t="shared" si="5"/>
        <v/>
      </c>
    </row>
    <row r="179" spans="4:5">
      <c r="D179" s="72" t="str">
        <f t="shared" si="4"/>
        <v/>
      </c>
      <c r="E179" s="72" t="str">
        <f t="shared" si="5"/>
        <v/>
      </c>
    </row>
    <row r="180" spans="4:5">
      <c r="D180" s="72" t="str">
        <f t="shared" si="4"/>
        <v/>
      </c>
      <c r="E180" s="72" t="str">
        <f t="shared" si="5"/>
        <v/>
      </c>
    </row>
    <row r="181" spans="4:5">
      <c r="D181" s="72" t="str">
        <f t="shared" si="4"/>
        <v/>
      </c>
      <c r="E181" s="72" t="str">
        <f t="shared" si="5"/>
        <v/>
      </c>
    </row>
    <row r="182" spans="4:5">
      <c r="D182" s="72" t="str">
        <f t="shared" si="4"/>
        <v/>
      </c>
      <c r="E182" s="72" t="str">
        <f t="shared" si="5"/>
        <v/>
      </c>
    </row>
    <row r="183" spans="4:5">
      <c r="D183" s="72" t="str">
        <f t="shared" si="4"/>
        <v/>
      </c>
      <c r="E183" s="72" t="str">
        <f t="shared" si="5"/>
        <v/>
      </c>
    </row>
    <row r="184" spans="4:5">
      <c r="D184" s="72" t="str">
        <f t="shared" si="4"/>
        <v/>
      </c>
      <c r="E184" s="72" t="str">
        <f t="shared" si="5"/>
        <v/>
      </c>
    </row>
    <row r="185" spans="4:5">
      <c r="D185" s="72" t="str">
        <f t="shared" si="4"/>
        <v/>
      </c>
      <c r="E185" s="72" t="str">
        <f t="shared" si="5"/>
        <v/>
      </c>
    </row>
    <row r="186" spans="4:5">
      <c r="D186" s="72" t="str">
        <f t="shared" si="4"/>
        <v/>
      </c>
      <c r="E186" s="72" t="str">
        <f t="shared" si="5"/>
        <v/>
      </c>
    </row>
    <row r="187" spans="4:5">
      <c r="D187" s="72" t="str">
        <f t="shared" si="4"/>
        <v/>
      </c>
      <c r="E187" s="72" t="str">
        <f t="shared" si="5"/>
        <v/>
      </c>
    </row>
    <row r="188" spans="4:5">
      <c r="D188" s="72" t="str">
        <f t="shared" si="4"/>
        <v/>
      </c>
      <c r="E188" s="72" t="str">
        <f t="shared" si="5"/>
        <v/>
      </c>
    </row>
    <row r="189" spans="4:5">
      <c r="D189" s="72" t="str">
        <f t="shared" si="4"/>
        <v/>
      </c>
      <c r="E189" s="72" t="str">
        <f t="shared" si="5"/>
        <v/>
      </c>
    </row>
    <row r="190" spans="4:5">
      <c r="D190" s="72" t="str">
        <f t="shared" si="4"/>
        <v/>
      </c>
      <c r="E190" s="72" t="str">
        <f t="shared" si="5"/>
        <v/>
      </c>
    </row>
    <row r="191" spans="4:5">
      <c r="D191" s="72" t="str">
        <f t="shared" si="4"/>
        <v/>
      </c>
      <c r="E191" s="72" t="str">
        <f t="shared" si="5"/>
        <v/>
      </c>
    </row>
    <row r="192" spans="4:5">
      <c r="D192" s="72" t="str">
        <f t="shared" si="4"/>
        <v/>
      </c>
      <c r="E192" s="72" t="str">
        <f t="shared" si="5"/>
        <v/>
      </c>
    </row>
    <row r="193" spans="4:5">
      <c r="D193" s="72" t="str">
        <f t="shared" si="4"/>
        <v/>
      </c>
      <c r="E193" s="72" t="str">
        <f t="shared" si="5"/>
        <v/>
      </c>
    </row>
    <row r="194" spans="4:5">
      <c r="D194" s="72" t="str">
        <f t="shared" si="4"/>
        <v/>
      </c>
      <c r="E194" s="72" t="str">
        <f t="shared" si="5"/>
        <v/>
      </c>
    </row>
    <row r="195" spans="4:5">
      <c r="D195" s="72" t="str">
        <f t="shared" si="4"/>
        <v/>
      </c>
      <c r="E195" s="72" t="str">
        <f t="shared" si="5"/>
        <v/>
      </c>
    </row>
    <row r="196" spans="4:5">
      <c r="D196" s="72" t="str">
        <f t="shared" si="4"/>
        <v/>
      </c>
      <c r="E196" s="72" t="str">
        <f t="shared" si="5"/>
        <v/>
      </c>
    </row>
    <row r="197" spans="4:5">
      <c r="D197" s="72" t="str">
        <f t="shared" si="4"/>
        <v/>
      </c>
      <c r="E197" s="72" t="str">
        <f t="shared" si="5"/>
        <v/>
      </c>
    </row>
    <row r="198" spans="4:5">
      <c r="D198" s="72" t="str">
        <f t="shared" si="4"/>
        <v/>
      </c>
      <c r="E198" s="72" t="str">
        <f t="shared" si="5"/>
        <v/>
      </c>
    </row>
    <row r="199" spans="4:5">
      <c r="D199" s="72" t="str">
        <f t="shared" si="4"/>
        <v/>
      </c>
      <c r="E199" s="72" t="str">
        <f t="shared" si="5"/>
        <v/>
      </c>
    </row>
    <row r="200" spans="4:5">
      <c r="D200" s="72" t="str">
        <f t="shared" si="4"/>
        <v/>
      </c>
      <c r="E200" s="72" t="str">
        <f t="shared" si="5"/>
        <v/>
      </c>
    </row>
    <row r="201" spans="4:5">
      <c r="D201" s="72" t="str">
        <f t="shared" si="4"/>
        <v/>
      </c>
      <c r="E201" s="72" t="str">
        <f t="shared" si="5"/>
        <v/>
      </c>
    </row>
    <row r="202" spans="4:5">
      <c r="D202" s="72" t="str">
        <f t="shared" si="4"/>
        <v/>
      </c>
      <c r="E202" s="72" t="str">
        <f t="shared" si="5"/>
        <v/>
      </c>
    </row>
    <row r="203" spans="4:5">
      <c r="D203" s="72" t="str">
        <f t="shared" si="4"/>
        <v/>
      </c>
      <c r="E203" s="72" t="str">
        <f t="shared" si="5"/>
        <v/>
      </c>
    </row>
    <row r="204" spans="4:5">
      <c r="D204" s="72" t="str">
        <f t="shared" si="4"/>
        <v/>
      </c>
      <c r="E204" s="72" t="str">
        <f t="shared" si="5"/>
        <v/>
      </c>
    </row>
    <row r="205" spans="4:5">
      <c r="D205" s="72" t="str">
        <f t="shared" si="4"/>
        <v/>
      </c>
      <c r="E205" s="72" t="str">
        <f t="shared" si="5"/>
        <v/>
      </c>
    </row>
    <row r="206" spans="4:5">
      <c r="D206" s="72" t="str">
        <f t="shared" si="4"/>
        <v/>
      </c>
      <c r="E206" s="72" t="str">
        <f t="shared" si="5"/>
        <v/>
      </c>
    </row>
    <row r="207" spans="4:5">
      <c r="D207" s="72" t="str">
        <f t="shared" si="4"/>
        <v/>
      </c>
      <c r="E207" s="72" t="str">
        <f t="shared" si="5"/>
        <v/>
      </c>
    </row>
    <row r="208" spans="4:5">
      <c r="D208" s="72" t="str">
        <f t="shared" si="4"/>
        <v/>
      </c>
      <c r="E208" s="72" t="str">
        <f t="shared" si="5"/>
        <v/>
      </c>
    </row>
    <row r="209" spans="4:5">
      <c r="D209" s="72" t="str">
        <f t="shared" si="4"/>
        <v/>
      </c>
      <c r="E209" s="72" t="str">
        <f t="shared" si="5"/>
        <v/>
      </c>
    </row>
    <row r="210" spans="4:5">
      <c r="D210" s="72" t="str">
        <f t="shared" si="4"/>
        <v/>
      </c>
      <c r="E210" s="72" t="str">
        <f t="shared" si="5"/>
        <v/>
      </c>
    </row>
    <row r="211" spans="4:5">
      <c r="D211" s="72" t="str">
        <f t="shared" si="4"/>
        <v/>
      </c>
      <c r="E211" s="72" t="str">
        <f t="shared" si="5"/>
        <v/>
      </c>
    </row>
    <row r="212" spans="4:5">
      <c r="D212" s="72" t="str">
        <f t="shared" ref="D212:D275" si="6">IF(B212&gt;$B$4,IF(B212&lt;$B$5,B212,""),"")</f>
        <v/>
      </c>
      <c r="E212" s="72" t="str">
        <f t="shared" ref="E212:E275" si="7">IF(D212="","",C212)</f>
        <v/>
      </c>
    </row>
    <row r="213" spans="4:5">
      <c r="D213" s="72" t="str">
        <f t="shared" si="6"/>
        <v/>
      </c>
      <c r="E213" s="72" t="str">
        <f t="shared" si="7"/>
        <v/>
      </c>
    </row>
    <row r="214" spans="4:5">
      <c r="D214" s="72" t="str">
        <f t="shared" si="6"/>
        <v/>
      </c>
      <c r="E214" s="72" t="str">
        <f t="shared" si="7"/>
        <v/>
      </c>
    </row>
    <row r="215" spans="4:5">
      <c r="D215" s="72" t="str">
        <f t="shared" si="6"/>
        <v/>
      </c>
      <c r="E215" s="72" t="str">
        <f t="shared" si="7"/>
        <v/>
      </c>
    </row>
    <row r="216" spans="4:5">
      <c r="D216" s="72" t="str">
        <f t="shared" si="6"/>
        <v/>
      </c>
      <c r="E216" s="72" t="str">
        <f t="shared" si="7"/>
        <v/>
      </c>
    </row>
    <row r="217" spans="4:5">
      <c r="D217" s="72" t="str">
        <f t="shared" si="6"/>
        <v/>
      </c>
      <c r="E217" s="72" t="str">
        <f t="shared" si="7"/>
        <v/>
      </c>
    </row>
    <row r="218" spans="4:5">
      <c r="D218" s="72" t="str">
        <f t="shared" si="6"/>
        <v/>
      </c>
      <c r="E218" s="72" t="str">
        <f t="shared" si="7"/>
        <v/>
      </c>
    </row>
    <row r="219" spans="4:5">
      <c r="D219" s="72" t="str">
        <f t="shared" si="6"/>
        <v/>
      </c>
      <c r="E219" s="72" t="str">
        <f t="shared" si="7"/>
        <v/>
      </c>
    </row>
    <row r="220" spans="4:5">
      <c r="D220" s="72" t="str">
        <f t="shared" si="6"/>
        <v/>
      </c>
      <c r="E220" s="72" t="str">
        <f t="shared" si="7"/>
        <v/>
      </c>
    </row>
    <row r="221" spans="4:5">
      <c r="D221" s="72" t="str">
        <f t="shared" si="6"/>
        <v/>
      </c>
      <c r="E221" s="72" t="str">
        <f t="shared" si="7"/>
        <v/>
      </c>
    </row>
    <row r="222" spans="4:5">
      <c r="D222" s="72" t="str">
        <f t="shared" si="6"/>
        <v/>
      </c>
      <c r="E222" s="72" t="str">
        <f t="shared" si="7"/>
        <v/>
      </c>
    </row>
    <row r="223" spans="4:5">
      <c r="D223" s="72" t="str">
        <f t="shared" si="6"/>
        <v/>
      </c>
      <c r="E223" s="72" t="str">
        <f t="shared" si="7"/>
        <v/>
      </c>
    </row>
    <row r="224" spans="4:5">
      <c r="D224" s="72" t="str">
        <f t="shared" si="6"/>
        <v/>
      </c>
      <c r="E224" s="72" t="str">
        <f t="shared" si="7"/>
        <v/>
      </c>
    </row>
    <row r="225" spans="4:5">
      <c r="D225" s="72" t="str">
        <f t="shared" si="6"/>
        <v/>
      </c>
      <c r="E225" s="72" t="str">
        <f t="shared" si="7"/>
        <v/>
      </c>
    </row>
    <row r="226" spans="4:5">
      <c r="D226" s="72" t="str">
        <f t="shared" si="6"/>
        <v/>
      </c>
      <c r="E226" s="72" t="str">
        <f t="shared" si="7"/>
        <v/>
      </c>
    </row>
    <row r="227" spans="4:5">
      <c r="D227" s="72" t="str">
        <f t="shared" si="6"/>
        <v/>
      </c>
      <c r="E227" s="72" t="str">
        <f t="shared" si="7"/>
        <v/>
      </c>
    </row>
    <row r="228" spans="4:5">
      <c r="D228" s="72" t="str">
        <f t="shared" si="6"/>
        <v/>
      </c>
      <c r="E228" s="72" t="str">
        <f t="shared" si="7"/>
        <v/>
      </c>
    </row>
    <row r="229" spans="4:5">
      <c r="D229" s="72" t="str">
        <f t="shared" si="6"/>
        <v/>
      </c>
      <c r="E229" s="72" t="str">
        <f t="shared" si="7"/>
        <v/>
      </c>
    </row>
    <row r="230" spans="4:5">
      <c r="D230" s="72" t="str">
        <f t="shared" si="6"/>
        <v/>
      </c>
      <c r="E230" s="72" t="str">
        <f t="shared" si="7"/>
        <v/>
      </c>
    </row>
    <row r="231" spans="4:5">
      <c r="D231" s="72" t="str">
        <f t="shared" si="6"/>
        <v/>
      </c>
      <c r="E231" s="72" t="str">
        <f t="shared" si="7"/>
        <v/>
      </c>
    </row>
    <row r="232" spans="4:5">
      <c r="D232" s="72" t="str">
        <f t="shared" si="6"/>
        <v/>
      </c>
      <c r="E232" s="72" t="str">
        <f t="shared" si="7"/>
        <v/>
      </c>
    </row>
    <row r="233" spans="4:5">
      <c r="D233" s="72" t="str">
        <f t="shared" si="6"/>
        <v/>
      </c>
      <c r="E233" s="72" t="str">
        <f t="shared" si="7"/>
        <v/>
      </c>
    </row>
    <row r="234" spans="4:5">
      <c r="D234" s="72" t="str">
        <f t="shared" si="6"/>
        <v/>
      </c>
      <c r="E234" s="72" t="str">
        <f t="shared" si="7"/>
        <v/>
      </c>
    </row>
    <row r="235" spans="4:5">
      <c r="D235" s="72" t="str">
        <f t="shared" si="6"/>
        <v/>
      </c>
      <c r="E235" s="72" t="str">
        <f t="shared" si="7"/>
        <v/>
      </c>
    </row>
    <row r="236" spans="4:5">
      <c r="D236" s="72" t="str">
        <f t="shared" si="6"/>
        <v/>
      </c>
      <c r="E236" s="72" t="str">
        <f t="shared" si="7"/>
        <v/>
      </c>
    </row>
    <row r="237" spans="4:5">
      <c r="D237" s="72" t="str">
        <f t="shared" si="6"/>
        <v/>
      </c>
      <c r="E237" s="72" t="str">
        <f t="shared" si="7"/>
        <v/>
      </c>
    </row>
    <row r="238" spans="4:5">
      <c r="D238" s="72" t="str">
        <f t="shared" si="6"/>
        <v/>
      </c>
      <c r="E238" s="72" t="str">
        <f t="shared" si="7"/>
        <v/>
      </c>
    </row>
    <row r="239" spans="4:5">
      <c r="D239" s="72" t="str">
        <f t="shared" si="6"/>
        <v/>
      </c>
      <c r="E239" s="72" t="str">
        <f t="shared" si="7"/>
        <v/>
      </c>
    </row>
    <row r="240" spans="4:5">
      <c r="D240" s="72" t="str">
        <f t="shared" si="6"/>
        <v/>
      </c>
      <c r="E240" s="72" t="str">
        <f t="shared" si="7"/>
        <v/>
      </c>
    </row>
    <row r="241" spans="4:5">
      <c r="D241" s="72" t="str">
        <f t="shared" si="6"/>
        <v/>
      </c>
      <c r="E241" s="72" t="str">
        <f t="shared" si="7"/>
        <v/>
      </c>
    </row>
    <row r="242" spans="4:5">
      <c r="D242" s="72" t="str">
        <f t="shared" si="6"/>
        <v/>
      </c>
      <c r="E242" s="72" t="str">
        <f t="shared" si="7"/>
        <v/>
      </c>
    </row>
    <row r="243" spans="4:5">
      <c r="D243" s="72" t="str">
        <f t="shared" si="6"/>
        <v/>
      </c>
      <c r="E243" s="72" t="str">
        <f t="shared" si="7"/>
        <v/>
      </c>
    </row>
    <row r="244" spans="4:5">
      <c r="D244" s="72" t="str">
        <f t="shared" si="6"/>
        <v/>
      </c>
      <c r="E244" s="72" t="str">
        <f t="shared" si="7"/>
        <v/>
      </c>
    </row>
    <row r="245" spans="4:5">
      <c r="D245" s="72" t="str">
        <f t="shared" si="6"/>
        <v/>
      </c>
      <c r="E245" s="72" t="str">
        <f t="shared" si="7"/>
        <v/>
      </c>
    </row>
    <row r="246" spans="4:5">
      <c r="D246" s="72" t="str">
        <f t="shared" si="6"/>
        <v/>
      </c>
      <c r="E246" s="72" t="str">
        <f t="shared" si="7"/>
        <v/>
      </c>
    </row>
    <row r="247" spans="4:5">
      <c r="D247" s="72" t="str">
        <f t="shared" si="6"/>
        <v/>
      </c>
      <c r="E247" s="72" t="str">
        <f t="shared" si="7"/>
        <v/>
      </c>
    </row>
    <row r="248" spans="4:5">
      <c r="D248" s="72" t="str">
        <f t="shared" si="6"/>
        <v/>
      </c>
      <c r="E248" s="72" t="str">
        <f t="shared" si="7"/>
        <v/>
      </c>
    </row>
    <row r="249" spans="4:5">
      <c r="D249" s="72" t="str">
        <f t="shared" si="6"/>
        <v/>
      </c>
      <c r="E249" s="72" t="str">
        <f t="shared" si="7"/>
        <v/>
      </c>
    </row>
    <row r="250" spans="4:5">
      <c r="D250" s="72" t="str">
        <f t="shared" si="6"/>
        <v/>
      </c>
      <c r="E250" s="72" t="str">
        <f t="shared" si="7"/>
        <v/>
      </c>
    </row>
    <row r="251" spans="4:5">
      <c r="D251" s="72" t="str">
        <f t="shared" si="6"/>
        <v/>
      </c>
      <c r="E251" s="72" t="str">
        <f t="shared" si="7"/>
        <v/>
      </c>
    </row>
    <row r="252" spans="4:5">
      <c r="D252" s="72" t="str">
        <f t="shared" si="6"/>
        <v/>
      </c>
      <c r="E252" s="72" t="str">
        <f t="shared" si="7"/>
        <v/>
      </c>
    </row>
    <row r="253" spans="4:5">
      <c r="D253" s="72" t="str">
        <f t="shared" si="6"/>
        <v/>
      </c>
      <c r="E253" s="72" t="str">
        <f t="shared" si="7"/>
        <v/>
      </c>
    </row>
    <row r="254" spans="4:5">
      <c r="D254" s="72" t="str">
        <f t="shared" si="6"/>
        <v/>
      </c>
      <c r="E254" s="72" t="str">
        <f t="shared" si="7"/>
        <v/>
      </c>
    </row>
    <row r="255" spans="4:5">
      <c r="D255" s="72" t="str">
        <f t="shared" si="6"/>
        <v/>
      </c>
      <c r="E255" s="72" t="str">
        <f t="shared" si="7"/>
        <v/>
      </c>
    </row>
    <row r="256" spans="4:5">
      <c r="D256" s="72" t="str">
        <f t="shared" si="6"/>
        <v/>
      </c>
      <c r="E256" s="72" t="str">
        <f t="shared" si="7"/>
        <v/>
      </c>
    </row>
    <row r="257" spans="4:5">
      <c r="D257" s="72" t="str">
        <f t="shared" si="6"/>
        <v/>
      </c>
      <c r="E257" s="72" t="str">
        <f t="shared" si="7"/>
        <v/>
      </c>
    </row>
    <row r="258" spans="4:5">
      <c r="D258" s="72" t="str">
        <f t="shared" si="6"/>
        <v/>
      </c>
      <c r="E258" s="72" t="str">
        <f t="shared" si="7"/>
        <v/>
      </c>
    </row>
    <row r="259" spans="4:5">
      <c r="D259" s="72" t="str">
        <f t="shared" si="6"/>
        <v/>
      </c>
      <c r="E259" s="72" t="str">
        <f t="shared" si="7"/>
        <v/>
      </c>
    </row>
    <row r="260" spans="4:5">
      <c r="D260" s="72" t="str">
        <f t="shared" si="6"/>
        <v/>
      </c>
      <c r="E260" s="72" t="str">
        <f t="shared" si="7"/>
        <v/>
      </c>
    </row>
    <row r="261" spans="4:5">
      <c r="D261" s="72" t="str">
        <f t="shared" si="6"/>
        <v/>
      </c>
      <c r="E261" s="72" t="str">
        <f t="shared" si="7"/>
        <v/>
      </c>
    </row>
    <row r="262" spans="4:5">
      <c r="D262" s="72" t="str">
        <f t="shared" si="6"/>
        <v/>
      </c>
      <c r="E262" s="72" t="str">
        <f t="shared" si="7"/>
        <v/>
      </c>
    </row>
    <row r="263" spans="4:5">
      <c r="D263" s="72" t="str">
        <f t="shared" si="6"/>
        <v/>
      </c>
      <c r="E263" s="72" t="str">
        <f t="shared" si="7"/>
        <v/>
      </c>
    </row>
    <row r="264" spans="4:5">
      <c r="D264" s="72" t="str">
        <f t="shared" si="6"/>
        <v/>
      </c>
      <c r="E264" s="72" t="str">
        <f t="shared" si="7"/>
        <v/>
      </c>
    </row>
    <row r="265" spans="4:5">
      <c r="D265" s="72" t="str">
        <f t="shared" si="6"/>
        <v/>
      </c>
      <c r="E265" s="72" t="str">
        <f t="shared" si="7"/>
        <v/>
      </c>
    </row>
    <row r="266" spans="4:5">
      <c r="D266" s="72" t="str">
        <f t="shared" si="6"/>
        <v/>
      </c>
      <c r="E266" s="72" t="str">
        <f t="shared" si="7"/>
        <v/>
      </c>
    </row>
    <row r="267" spans="4:5">
      <c r="D267" s="72" t="str">
        <f t="shared" si="6"/>
        <v/>
      </c>
      <c r="E267" s="72" t="str">
        <f t="shared" si="7"/>
        <v/>
      </c>
    </row>
    <row r="268" spans="4:5">
      <c r="D268" s="72" t="str">
        <f t="shared" si="6"/>
        <v/>
      </c>
      <c r="E268" s="72" t="str">
        <f t="shared" si="7"/>
        <v/>
      </c>
    </row>
    <row r="269" spans="4:5">
      <c r="D269" s="72" t="str">
        <f t="shared" si="6"/>
        <v/>
      </c>
      <c r="E269" s="72" t="str">
        <f t="shared" si="7"/>
        <v/>
      </c>
    </row>
    <row r="270" spans="4:5">
      <c r="D270" s="72" t="str">
        <f t="shared" si="6"/>
        <v/>
      </c>
      <c r="E270" s="72" t="str">
        <f t="shared" si="7"/>
        <v/>
      </c>
    </row>
    <row r="271" spans="4:5">
      <c r="D271" s="72" t="str">
        <f t="shared" si="6"/>
        <v/>
      </c>
      <c r="E271" s="72" t="str">
        <f t="shared" si="7"/>
        <v/>
      </c>
    </row>
    <row r="272" spans="4:5">
      <c r="D272" s="72" t="str">
        <f t="shared" si="6"/>
        <v/>
      </c>
      <c r="E272" s="72" t="str">
        <f t="shared" si="7"/>
        <v/>
      </c>
    </row>
    <row r="273" spans="4:5">
      <c r="D273" s="72" t="str">
        <f t="shared" si="6"/>
        <v/>
      </c>
      <c r="E273" s="72" t="str">
        <f t="shared" si="7"/>
        <v/>
      </c>
    </row>
    <row r="274" spans="4:5">
      <c r="D274" s="72" t="str">
        <f t="shared" si="6"/>
        <v/>
      </c>
      <c r="E274" s="72" t="str">
        <f t="shared" si="7"/>
        <v/>
      </c>
    </row>
    <row r="275" spans="4:5">
      <c r="D275" s="72" t="str">
        <f t="shared" si="6"/>
        <v/>
      </c>
      <c r="E275" s="72" t="str">
        <f t="shared" si="7"/>
        <v/>
      </c>
    </row>
    <row r="276" spans="4:5">
      <c r="D276" s="72" t="str">
        <f t="shared" ref="D276:D339" si="8">IF(B276&gt;$B$4,IF(B276&lt;$B$5,B276,""),"")</f>
        <v/>
      </c>
      <c r="E276" s="72" t="str">
        <f t="shared" ref="E276:E339" si="9">IF(D276="","",C276)</f>
        <v/>
      </c>
    </row>
    <row r="277" spans="4:5">
      <c r="D277" s="72" t="str">
        <f t="shared" si="8"/>
        <v/>
      </c>
      <c r="E277" s="72" t="str">
        <f t="shared" si="9"/>
        <v/>
      </c>
    </row>
    <row r="278" spans="4:5">
      <c r="D278" s="72" t="str">
        <f t="shared" si="8"/>
        <v/>
      </c>
      <c r="E278" s="72" t="str">
        <f t="shared" si="9"/>
        <v/>
      </c>
    </row>
    <row r="279" spans="4:5">
      <c r="D279" s="72" t="str">
        <f t="shared" si="8"/>
        <v/>
      </c>
      <c r="E279" s="72" t="str">
        <f t="shared" si="9"/>
        <v/>
      </c>
    </row>
    <row r="280" spans="4:5">
      <c r="D280" s="72" t="str">
        <f t="shared" si="8"/>
        <v/>
      </c>
      <c r="E280" s="72" t="str">
        <f t="shared" si="9"/>
        <v/>
      </c>
    </row>
    <row r="281" spans="4:5">
      <c r="D281" s="72" t="str">
        <f t="shared" si="8"/>
        <v/>
      </c>
      <c r="E281" s="72" t="str">
        <f t="shared" si="9"/>
        <v/>
      </c>
    </row>
    <row r="282" spans="4:5">
      <c r="D282" s="72" t="str">
        <f t="shared" si="8"/>
        <v/>
      </c>
      <c r="E282" s="72" t="str">
        <f t="shared" si="9"/>
        <v/>
      </c>
    </row>
    <row r="283" spans="4:5">
      <c r="D283" s="72" t="str">
        <f t="shared" si="8"/>
        <v/>
      </c>
      <c r="E283" s="72" t="str">
        <f t="shared" si="9"/>
        <v/>
      </c>
    </row>
    <row r="284" spans="4:5">
      <c r="D284" s="72" t="str">
        <f t="shared" si="8"/>
        <v/>
      </c>
      <c r="E284" s="72" t="str">
        <f t="shared" si="9"/>
        <v/>
      </c>
    </row>
    <row r="285" spans="4:5">
      <c r="D285" s="72" t="str">
        <f t="shared" si="8"/>
        <v/>
      </c>
      <c r="E285" s="72" t="str">
        <f t="shared" si="9"/>
        <v/>
      </c>
    </row>
    <row r="286" spans="4:5">
      <c r="D286" s="72" t="str">
        <f t="shared" si="8"/>
        <v/>
      </c>
      <c r="E286" s="72" t="str">
        <f t="shared" si="9"/>
        <v/>
      </c>
    </row>
    <row r="287" spans="4:5">
      <c r="D287" s="72" t="str">
        <f t="shared" si="8"/>
        <v/>
      </c>
      <c r="E287" s="72" t="str">
        <f t="shared" si="9"/>
        <v/>
      </c>
    </row>
    <row r="288" spans="4:5">
      <c r="D288" s="72" t="str">
        <f t="shared" si="8"/>
        <v/>
      </c>
      <c r="E288" s="72" t="str">
        <f t="shared" si="9"/>
        <v/>
      </c>
    </row>
    <row r="289" spans="4:5">
      <c r="D289" s="72" t="str">
        <f t="shared" si="8"/>
        <v/>
      </c>
      <c r="E289" s="72" t="str">
        <f t="shared" si="9"/>
        <v/>
      </c>
    </row>
    <row r="290" spans="4:5">
      <c r="D290" s="72" t="str">
        <f t="shared" si="8"/>
        <v/>
      </c>
      <c r="E290" s="72" t="str">
        <f t="shared" si="9"/>
        <v/>
      </c>
    </row>
    <row r="291" spans="4:5">
      <c r="D291" s="72" t="str">
        <f t="shared" si="8"/>
        <v/>
      </c>
      <c r="E291" s="72" t="str">
        <f t="shared" si="9"/>
        <v/>
      </c>
    </row>
    <row r="292" spans="4:5">
      <c r="D292" s="72" t="str">
        <f t="shared" si="8"/>
        <v/>
      </c>
      <c r="E292" s="72" t="str">
        <f t="shared" si="9"/>
        <v/>
      </c>
    </row>
    <row r="293" spans="4:5">
      <c r="D293" s="72" t="str">
        <f t="shared" si="8"/>
        <v/>
      </c>
      <c r="E293" s="72" t="str">
        <f t="shared" si="9"/>
        <v/>
      </c>
    </row>
    <row r="294" spans="4:5">
      <c r="D294" s="72" t="str">
        <f t="shared" si="8"/>
        <v/>
      </c>
      <c r="E294" s="72" t="str">
        <f t="shared" si="9"/>
        <v/>
      </c>
    </row>
    <row r="295" spans="4:5">
      <c r="D295" s="72" t="str">
        <f t="shared" si="8"/>
        <v/>
      </c>
      <c r="E295" s="72" t="str">
        <f t="shared" si="9"/>
        <v/>
      </c>
    </row>
    <row r="296" spans="4:5">
      <c r="D296" s="72" t="str">
        <f t="shared" si="8"/>
        <v/>
      </c>
      <c r="E296" s="72" t="str">
        <f t="shared" si="9"/>
        <v/>
      </c>
    </row>
    <row r="297" spans="4:5">
      <c r="D297" s="72" t="str">
        <f t="shared" si="8"/>
        <v/>
      </c>
      <c r="E297" s="72" t="str">
        <f t="shared" si="9"/>
        <v/>
      </c>
    </row>
    <row r="298" spans="4:5">
      <c r="D298" s="72" t="str">
        <f t="shared" si="8"/>
        <v/>
      </c>
      <c r="E298" s="72" t="str">
        <f t="shared" si="9"/>
        <v/>
      </c>
    </row>
    <row r="299" spans="4:5">
      <c r="D299" s="72" t="str">
        <f t="shared" si="8"/>
        <v/>
      </c>
      <c r="E299" s="72" t="str">
        <f t="shared" si="9"/>
        <v/>
      </c>
    </row>
    <row r="300" spans="4:5">
      <c r="D300" s="72" t="str">
        <f t="shared" si="8"/>
        <v/>
      </c>
      <c r="E300" s="72" t="str">
        <f t="shared" si="9"/>
        <v/>
      </c>
    </row>
    <row r="301" spans="4:5">
      <c r="D301" s="72" t="str">
        <f t="shared" si="8"/>
        <v/>
      </c>
      <c r="E301" s="72" t="str">
        <f t="shared" si="9"/>
        <v/>
      </c>
    </row>
    <row r="302" spans="4:5">
      <c r="D302" s="72" t="str">
        <f t="shared" si="8"/>
        <v/>
      </c>
      <c r="E302" s="72" t="str">
        <f t="shared" si="9"/>
        <v/>
      </c>
    </row>
    <row r="303" spans="4:5">
      <c r="D303" s="72" t="str">
        <f t="shared" si="8"/>
        <v/>
      </c>
      <c r="E303" s="72" t="str">
        <f t="shared" si="9"/>
        <v/>
      </c>
    </row>
    <row r="304" spans="4:5">
      <c r="D304" s="72" t="str">
        <f t="shared" si="8"/>
        <v/>
      </c>
      <c r="E304" s="72" t="str">
        <f t="shared" si="9"/>
        <v/>
      </c>
    </row>
    <row r="305" spans="4:5">
      <c r="D305" s="72" t="str">
        <f t="shared" si="8"/>
        <v/>
      </c>
      <c r="E305" s="72" t="str">
        <f t="shared" si="9"/>
        <v/>
      </c>
    </row>
    <row r="306" spans="4:5">
      <c r="D306" s="72" t="str">
        <f t="shared" si="8"/>
        <v/>
      </c>
      <c r="E306" s="72" t="str">
        <f t="shared" si="9"/>
        <v/>
      </c>
    </row>
    <row r="307" spans="4:5">
      <c r="D307" s="72" t="str">
        <f t="shared" si="8"/>
        <v/>
      </c>
      <c r="E307" s="72" t="str">
        <f t="shared" si="9"/>
        <v/>
      </c>
    </row>
    <row r="308" spans="4:5">
      <c r="D308" s="72" t="str">
        <f t="shared" si="8"/>
        <v/>
      </c>
      <c r="E308" s="72" t="str">
        <f t="shared" si="9"/>
        <v/>
      </c>
    </row>
    <row r="309" spans="4:5">
      <c r="D309" s="72" t="str">
        <f t="shared" si="8"/>
        <v/>
      </c>
      <c r="E309" s="72" t="str">
        <f t="shared" si="9"/>
        <v/>
      </c>
    </row>
    <row r="310" spans="4:5">
      <c r="D310" s="72" t="str">
        <f t="shared" si="8"/>
        <v/>
      </c>
      <c r="E310" s="72" t="str">
        <f t="shared" si="9"/>
        <v/>
      </c>
    </row>
    <row r="311" spans="4:5">
      <c r="D311" s="72" t="str">
        <f t="shared" si="8"/>
        <v/>
      </c>
      <c r="E311" s="72" t="str">
        <f t="shared" si="9"/>
        <v/>
      </c>
    </row>
    <row r="312" spans="4:5">
      <c r="D312" s="72" t="str">
        <f t="shared" si="8"/>
        <v/>
      </c>
      <c r="E312" s="72" t="str">
        <f t="shared" si="9"/>
        <v/>
      </c>
    </row>
    <row r="313" spans="4:5">
      <c r="D313" s="72" t="str">
        <f t="shared" si="8"/>
        <v/>
      </c>
      <c r="E313" s="72" t="str">
        <f t="shared" si="9"/>
        <v/>
      </c>
    </row>
    <row r="314" spans="4:5">
      <c r="D314" s="72" t="str">
        <f t="shared" si="8"/>
        <v/>
      </c>
      <c r="E314" s="72" t="str">
        <f t="shared" si="9"/>
        <v/>
      </c>
    </row>
    <row r="315" spans="4:5">
      <c r="D315" s="72" t="str">
        <f t="shared" si="8"/>
        <v/>
      </c>
      <c r="E315" s="72" t="str">
        <f t="shared" si="9"/>
        <v/>
      </c>
    </row>
    <row r="316" spans="4:5">
      <c r="D316" s="72" t="str">
        <f t="shared" si="8"/>
        <v/>
      </c>
      <c r="E316" s="72" t="str">
        <f t="shared" si="9"/>
        <v/>
      </c>
    </row>
    <row r="317" spans="4:5">
      <c r="D317" s="72" t="str">
        <f t="shared" si="8"/>
        <v/>
      </c>
      <c r="E317" s="72" t="str">
        <f t="shared" si="9"/>
        <v/>
      </c>
    </row>
    <row r="318" spans="4:5">
      <c r="D318" s="72" t="str">
        <f t="shared" si="8"/>
        <v/>
      </c>
      <c r="E318" s="72" t="str">
        <f t="shared" si="9"/>
        <v/>
      </c>
    </row>
    <row r="319" spans="4:5">
      <c r="D319" s="72" t="str">
        <f t="shared" si="8"/>
        <v/>
      </c>
      <c r="E319" s="72" t="str">
        <f t="shared" si="9"/>
        <v/>
      </c>
    </row>
    <row r="320" spans="4:5">
      <c r="D320" s="72" t="str">
        <f t="shared" si="8"/>
        <v/>
      </c>
      <c r="E320" s="72" t="str">
        <f t="shared" si="9"/>
        <v/>
      </c>
    </row>
    <row r="321" spans="4:5">
      <c r="D321" s="72" t="str">
        <f t="shared" si="8"/>
        <v/>
      </c>
      <c r="E321" s="72" t="str">
        <f t="shared" si="9"/>
        <v/>
      </c>
    </row>
    <row r="322" spans="4:5">
      <c r="D322" s="72" t="str">
        <f t="shared" si="8"/>
        <v/>
      </c>
      <c r="E322" s="72" t="str">
        <f t="shared" si="9"/>
        <v/>
      </c>
    </row>
    <row r="323" spans="4:5">
      <c r="D323" s="72" t="str">
        <f t="shared" si="8"/>
        <v/>
      </c>
      <c r="E323" s="72" t="str">
        <f t="shared" si="9"/>
        <v/>
      </c>
    </row>
    <row r="324" spans="4:5">
      <c r="D324" s="72" t="str">
        <f t="shared" si="8"/>
        <v/>
      </c>
      <c r="E324" s="72" t="str">
        <f t="shared" si="9"/>
        <v/>
      </c>
    </row>
    <row r="325" spans="4:5">
      <c r="D325" s="72" t="str">
        <f t="shared" si="8"/>
        <v/>
      </c>
      <c r="E325" s="72" t="str">
        <f t="shared" si="9"/>
        <v/>
      </c>
    </row>
    <row r="326" spans="4:5">
      <c r="D326" s="72" t="str">
        <f t="shared" si="8"/>
        <v/>
      </c>
      <c r="E326" s="72" t="str">
        <f t="shared" si="9"/>
        <v/>
      </c>
    </row>
    <row r="327" spans="4:5">
      <c r="D327" s="72" t="str">
        <f t="shared" si="8"/>
        <v/>
      </c>
      <c r="E327" s="72" t="str">
        <f t="shared" si="9"/>
        <v/>
      </c>
    </row>
    <row r="328" spans="4:5">
      <c r="D328" s="72" t="str">
        <f t="shared" si="8"/>
        <v/>
      </c>
      <c r="E328" s="72" t="str">
        <f t="shared" si="9"/>
        <v/>
      </c>
    </row>
    <row r="329" spans="4:5">
      <c r="D329" s="72" t="str">
        <f t="shared" si="8"/>
        <v/>
      </c>
      <c r="E329" s="72" t="str">
        <f t="shared" si="9"/>
        <v/>
      </c>
    </row>
    <row r="330" spans="4:5">
      <c r="D330" s="72" t="str">
        <f t="shared" si="8"/>
        <v/>
      </c>
      <c r="E330" s="72" t="str">
        <f t="shared" si="9"/>
        <v/>
      </c>
    </row>
    <row r="331" spans="4:5">
      <c r="D331" s="72" t="str">
        <f t="shared" si="8"/>
        <v/>
      </c>
      <c r="E331" s="72" t="str">
        <f t="shared" si="9"/>
        <v/>
      </c>
    </row>
    <row r="332" spans="4:5">
      <c r="D332" s="72" t="str">
        <f t="shared" si="8"/>
        <v/>
      </c>
      <c r="E332" s="72" t="str">
        <f t="shared" si="9"/>
        <v/>
      </c>
    </row>
    <row r="333" spans="4:5">
      <c r="D333" s="72" t="str">
        <f t="shared" si="8"/>
        <v/>
      </c>
      <c r="E333" s="72" t="str">
        <f t="shared" si="9"/>
        <v/>
      </c>
    </row>
    <row r="334" spans="4:5">
      <c r="D334" s="72" t="str">
        <f t="shared" si="8"/>
        <v/>
      </c>
      <c r="E334" s="72" t="str">
        <f t="shared" si="9"/>
        <v/>
      </c>
    </row>
    <row r="335" spans="4:5">
      <c r="D335" s="72" t="str">
        <f t="shared" si="8"/>
        <v/>
      </c>
      <c r="E335" s="72" t="str">
        <f t="shared" si="9"/>
        <v/>
      </c>
    </row>
    <row r="336" spans="4:5">
      <c r="D336" s="72" t="str">
        <f t="shared" si="8"/>
        <v/>
      </c>
      <c r="E336" s="72" t="str">
        <f t="shared" si="9"/>
        <v/>
      </c>
    </row>
    <row r="337" spans="4:5">
      <c r="D337" s="72" t="str">
        <f t="shared" si="8"/>
        <v/>
      </c>
      <c r="E337" s="72" t="str">
        <f t="shared" si="9"/>
        <v/>
      </c>
    </row>
    <row r="338" spans="4:5">
      <c r="D338" s="72" t="str">
        <f t="shared" si="8"/>
        <v/>
      </c>
      <c r="E338" s="72" t="str">
        <f t="shared" si="9"/>
        <v/>
      </c>
    </row>
    <row r="339" spans="4:5">
      <c r="D339" s="72" t="str">
        <f t="shared" si="8"/>
        <v/>
      </c>
      <c r="E339" s="72" t="str">
        <f t="shared" si="9"/>
        <v/>
      </c>
    </row>
    <row r="340" spans="4:5">
      <c r="D340" s="72" t="str">
        <f t="shared" ref="D340:D403" si="10">IF(B340&gt;$B$4,IF(B340&lt;$B$5,B340,""),"")</f>
        <v/>
      </c>
      <c r="E340" s="72" t="str">
        <f t="shared" ref="E340:E403" si="11">IF(D340="","",C340)</f>
        <v/>
      </c>
    </row>
    <row r="341" spans="4:5">
      <c r="D341" s="72" t="str">
        <f t="shared" si="10"/>
        <v/>
      </c>
      <c r="E341" s="72" t="str">
        <f t="shared" si="11"/>
        <v/>
      </c>
    </row>
    <row r="342" spans="4:5">
      <c r="D342" s="72" t="str">
        <f t="shared" si="10"/>
        <v/>
      </c>
      <c r="E342" s="72" t="str">
        <f t="shared" si="11"/>
        <v/>
      </c>
    </row>
    <row r="343" spans="4:5">
      <c r="D343" s="72" t="str">
        <f t="shared" si="10"/>
        <v/>
      </c>
      <c r="E343" s="72" t="str">
        <f t="shared" si="11"/>
        <v/>
      </c>
    </row>
    <row r="344" spans="4:5">
      <c r="D344" s="72" t="str">
        <f t="shared" si="10"/>
        <v/>
      </c>
      <c r="E344" s="72" t="str">
        <f t="shared" si="11"/>
        <v/>
      </c>
    </row>
    <row r="345" spans="4:5">
      <c r="D345" s="72" t="str">
        <f t="shared" si="10"/>
        <v/>
      </c>
      <c r="E345" s="72" t="str">
        <f t="shared" si="11"/>
        <v/>
      </c>
    </row>
    <row r="346" spans="4:5">
      <c r="D346" s="72" t="str">
        <f t="shared" si="10"/>
        <v/>
      </c>
      <c r="E346" s="72" t="str">
        <f t="shared" si="11"/>
        <v/>
      </c>
    </row>
    <row r="347" spans="4:5">
      <c r="D347" s="72" t="str">
        <f t="shared" si="10"/>
        <v/>
      </c>
      <c r="E347" s="72" t="str">
        <f t="shared" si="11"/>
        <v/>
      </c>
    </row>
    <row r="348" spans="4:5">
      <c r="D348" s="72" t="str">
        <f t="shared" si="10"/>
        <v/>
      </c>
      <c r="E348" s="72" t="str">
        <f t="shared" si="11"/>
        <v/>
      </c>
    </row>
    <row r="349" spans="4:5">
      <c r="D349" s="72" t="str">
        <f t="shared" si="10"/>
        <v/>
      </c>
      <c r="E349" s="72" t="str">
        <f t="shared" si="11"/>
        <v/>
      </c>
    </row>
    <row r="350" spans="4:5">
      <c r="D350" s="72" t="str">
        <f t="shared" si="10"/>
        <v/>
      </c>
      <c r="E350" s="72" t="str">
        <f t="shared" si="11"/>
        <v/>
      </c>
    </row>
    <row r="351" spans="4:5">
      <c r="D351" s="72" t="str">
        <f t="shared" si="10"/>
        <v/>
      </c>
      <c r="E351" s="72" t="str">
        <f t="shared" si="11"/>
        <v/>
      </c>
    </row>
    <row r="352" spans="4:5">
      <c r="D352" s="72" t="str">
        <f t="shared" si="10"/>
        <v/>
      </c>
      <c r="E352" s="72" t="str">
        <f t="shared" si="11"/>
        <v/>
      </c>
    </row>
    <row r="353" spans="4:5">
      <c r="D353" s="72" t="str">
        <f t="shared" si="10"/>
        <v/>
      </c>
      <c r="E353" s="72" t="str">
        <f t="shared" si="11"/>
        <v/>
      </c>
    </row>
    <row r="354" spans="4:5">
      <c r="D354" s="72" t="str">
        <f t="shared" si="10"/>
        <v/>
      </c>
      <c r="E354" s="72" t="str">
        <f t="shared" si="11"/>
        <v/>
      </c>
    </row>
    <row r="355" spans="4:5">
      <c r="D355" s="72" t="str">
        <f t="shared" si="10"/>
        <v/>
      </c>
      <c r="E355" s="72" t="str">
        <f t="shared" si="11"/>
        <v/>
      </c>
    </row>
    <row r="356" spans="4:5">
      <c r="D356" s="72" t="str">
        <f t="shared" si="10"/>
        <v/>
      </c>
      <c r="E356" s="72" t="str">
        <f t="shared" si="11"/>
        <v/>
      </c>
    </row>
    <row r="357" spans="4:5">
      <c r="D357" s="72" t="str">
        <f t="shared" si="10"/>
        <v/>
      </c>
      <c r="E357" s="72" t="str">
        <f t="shared" si="11"/>
        <v/>
      </c>
    </row>
    <row r="358" spans="4:5">
      <c r="D358" s="72" t="str">
        <f t="shared" si="10"/>
        <v/>
      </c>
      <c r="E358" s="72" t="str">
        <f t="shared" si="11"/>
        <v/>
      </c>
    </row>
    <row r="359" spans="4:5">
      <c r="D359" s="72" t="str">
        <f t="shared" si="10"/>
        <v/>
      </c>
      <c r="E359" s="72" t="str">
        <f t="shared" si="11"/>
        <v/>
      </c>
    </row>
    <row r="360" spans="4:5">
      <c r="D360" s="72" t="str">
        <f t="shared" si="10"/>
        <v/>
      </c>
      <c r="E360" s="72" t="str">
        <f t="shared" si="11"/>
        <v/>
      </c>
    </row>
    <row r="361" spans="4:5">
      <c r="D361" s="72" t="str">
        <f t="shared" si="10"/>
        <v/>
      </c>
      <c r="E361" s="72" t="str">
        <f t="shared" si="11"/>
        <v/>
      </c>
    </row>
    <row r="362" spans="4:5">
      <c r="D362" s="72" t="str">
        <f t="shared" si="10"/>
        <v/>
      </c>
      <c r="E362" s="72" t="str">
        <f t="shared" si="11"/>
        <v/>
      </c>
    </row>
    <row r="363" spans="4:5">
      <c r="D363" s="72" t="str">
        <f t="shared" si="10"/>
        <v/>
      </c>
      <c r="E363" s="72" t="str">
        <f t="shared" si="11"/>
        <v/>
      </c>
    </row>
    <row r="364" spans="4:5">
      <c r="D364" s="72" t="str">
        <f t="shared" si="10"/>
        <v/>
      </c>
      <c r="E364" s="72" t="str">
        <f t="shared" si="11"/>
        <v/>
      </c>
    </row>
    <row r="365" spans="4:5">
      <c r="D365" s="72" t="str">
        <f t="shared" si="10"/>
        <v/>
      </c>
      <c r="E365" s="72" t="str">
        <f t="shared" si="11"/>
        <v/>
      </c>
    </row>
    <row r="366" spans="4:5">
      <c r="D366" s="72" t="str">
        <f t="shared" si="10"/>
        <v/>
      </c>
      <c r="E366" s="72" t="str">
        <f t="shared" si="11"/>
        <v/>
      </c>
    </row>
    <row r="367" spans="4:5">
      <c r="D367" s="72" t="str">
        <f t="shared" si="10"/>
        <v/>
      </c>
      <c r="E367" s="72" t="str">
        <f t="shared" si="11"/>
        <v/>
      </c>
    </row>
    <row r="368" spans="4:5">
      <c r="D368" s="72" t="str">
        <f t="shared" si="10"/>
        <v/>
      </c>
      <c r="E368" s="72" t="str">
        <f t="shared" si="11"/>
        <v/>
      </c>
    </row>
    <row r="369" spans="4:5">
      <c r="D369" s="72" t="str">
        <f t="shared" si="10"/>
        <v/>
      </c>
      <c r="E369" s="72" t="str">
        <f t="shared" si="11"/>
        <v/>
      </c>
    </row>
    <row r="370" spans="4:5">
      <c r="D370" s="72" t="str">
        <f t="shared" si="10"/>
        <v/>
      </c>
      <c r="E370" s="72" t="str">
        <f t="shared" si="11"/>
        <v/>
      </c>
    </row>
    <row r="371" spans="4:5">
      <c r="D371" s="72" t="str">
        <f t="shared" si="10"/>
        <v/>
      </c>
      <c r="E371" s="72" t="str">
        <f t="shared" si="11"/>
        <v/>
      </c>
    </row>
    <row r="372" spans="4:5">
      <c r="D372" s="72" t="str">
        <f t="shared" si="10"/>
        <v/>
      </c>
      <c r="E372" s="72" t="str">
        <f t="shared" si="11"/>
        <v/>
      </c>
    </row>
    <row r="373" spans="4:5">
      <c r="D373" s="72" t="str">
        <f t="shared" si="10"/>
        <v/>
      </c>
      <c r="E373" s="72" t="str">
        <f t="shared" si="11"/>
        <v/>
      </c>
    </row>
    <row r="374" spans="4:5">
      <c r="D374" s="72" t="str">
        <f t="shared" si="10"/>
        <v/>
      </c>
      <c r="E374" s="72" t="str">
        <f t="shared" si="11"/>
        <v/>
      </c>
    </row>
    <row r="375" spans="4:5">
      <c r="D375" s="72" t="str">
        <f t="shared" si="10"/>
        <v/>
      </c>
      <c r="E375" s="72" t="str">
        <f t="shared" si="11"/>
        <v/>
      </c>
    </row>
    <row r="376" spans="4:5">
      <c r="D376" s="72" t="str">
        <f t="shared" si="10"/>
        <v/>
      </c>
      <c r="E376" s="72" t="str">
        <f t="shared" si="11"/>
        <v/>
      </c>
    </row>
    <row r="377" spans="4:5">
      <c r="D377" s="72" t="str">
        <f t="shared" si="10"/>
        <v/>
      </c>
      <c r="E377" s="72" t="str">
        <f t="shared" si="11"/>
        <v/>
      </c>
    </row>
    <row r="378" spans="4:5">
      <c r="D378" s="72" t="str">
        <f t="shared" si="10"/>
        <v/>
      </c>
      <c r="E378" s="72" t="str">
        <f t="shared" si="11"/>
        <v/>
      </c>
    </row>
    <row r="379" spans="4:5">
      <c r="D379" s="72" t="str">
        <f t="shared" si="10"/>
        <v/>
      </c>
      <c r="E379" s="72" t="str">
        <f t="shared" si="11"/>
        <v/>
      </c>
    </row>
    <row r="380" spans="4:5">
      <c r="D380" s="72" t="str">
        <f t="shared" si="10"/>
        <v/>
      </c>
      <c r="E380" s="72" t="str">
        <f t="shared" si="11"/>
        <v/>
      </c>
    </row>
    <row r="381" spans="4:5">
      <c r="D381" s="72" t="str">
        <f t="shared" si="10"/>
        <v/>
      </c>
      <c r="E381" s="72" t="str">
        <f t="shared" si="11"/>
        <v/>
      </c>
    </row>
    <row r="382" spans="4:5">
      <c r="D382" s="72" t="str">
        <f t="shared" si="10"/>
        <v/>
      </c>
      <c r="E382" s="72" t="str">
        <f t="shared" si="11"/>
        <v/>
      </c>
    </row>
    <row r="383" spans="4:5">
      <c r="D383" s="72" t="str">
        <f t="shared" si="10"/>
        <v/>
      </c>
      <c r="E383" s="72" t="str">
        <f t="shared" si="11"/>
        <v/>
      </c>
    </row>
    <row r="384" spans="4:5">
      <c r="D384" s="72" t="str">
        <f t="shared" si="10"/>
        <v/>
      </c>
      <c r="E384" s="72" t="str">
        <f t="shared" si="11"/>
        <v/>
      </c>
    </row>
    <row r="385" spans="4:5">
      <c r="D385" s="72" t="str">
        <f t="shared" si="10"/>
        <v/>
      </c>
      <c r="E385" s="72" t="str">
        <f t="shared" si="11"/>
        <v/>
      </c>
    </row>
    <row r="386" spans="4:5">
      <c r="D386" s="72" t="str">
        <f t="shared" si="10"/>
        <v/>
      </c>
      <c r="E386" s="72" t="str">
        <f t="shared" si="11"/>
        <v/>
      </c>
    </row>
    <row r="387" spans="4:5">
      <c r="D387" s="72" t="str">
        <f t="shared" si="10"/>
        <v/>
      </c>
      <c r="E387" s="72" t="str">
        <f t="shared" si="11"/>
        <v/>
      </c>
    </row>
    <row r="388" spans="4:5">
      <c r="D388" s="72" t="str">
        <f t="shared" si="10"/>
        <v/>
      </c>
      <c r="E388" s="72" t="str">
        <f t="shared" si="11"/>
        <v/>
      </c>
    </row>
    <row r="389" spans="4:5">
      <c r="D389" s="72" t="str">
        <f t="shared" si="10"/>
        <v/>
      </c>
      <c r="E389" s="72" t="str">
        <f t="shared" si="11"/>
        <v/>
      </c>
    </row>
    <row r="390" spans="4:5">
      <c r="D390" s="72" t="str">
        <f t="shared" si="10"/>
        <v/>
      </c>
      <c r="E390" s="72" t="str">
        <f t="shared" si="11"/>
        <v/>
      </c>
    </row>
    <row r="391" spans="4:5">
      <c r="D391" s="72" t="str">
        <f t="shared" si="10"/>
        <v/>
      </c>
      <c r="E391" s="72" t="str">
        <f t="shared" si="11"/>
        <v/>
      </c>
    </row>
    <row r="392" spans="4:5">
      <c r="D392" s="72" t="str">
        <f t="shared" si="10"/>
        <v/>
      </c>
      <c r="E392" s="72" t="str">
        <f t="shared" si="11"/>
        <v/>
      </c>
    </row>
    <row r="393" spans="4:5">
      <c r="D393" s="72" t="str">
        <f t="shared" si="10"/>
        <v/>
      </c>
      <c r="E393" s="72" t="str">
        <f t="shared" si="11"/>
        <v/>
      </c>
    </row>
    <row r="394" spans="4:5">
      <c r="D394" s="72" t="str">
        <f t="shared" si="10"/>
        <v/>
      </c>
      <c r="E394" s="72" t="str">
        <f t="shared" si="11"/>
        <v/>
      </c>
    </row>
    <row r="395" spans="4:5">
      <c r="D395" s="72" t="str">
        <f t="shared" si="10"/>
        <v/>
      </c>
      <c r="E395" s="72" t="str">
        <f t="shared" si="11"/>
        <v/>
      </c>
    </row>
    <row r="396" spans="4:5">
      <c r="D396" s="72" t="str">
        <f t="shared" si="10"/>
        <v/>
      </c>
      <c r="E396" s="72" t="str">
        <f t="shared" si="11"/>
        <v/>
      </c>
    </row>
    <row r="397" spans="4:5">
      <c r="D397" s="72" t="str">
        <f t="shared" si="10"/>
        <v/>
      </c>
      <c r="E397" s="72" t="str">
        <f t="shared" si="11"/>
        <v/>
      </c>
    </row>
    <row r="398" spans="4:5">
      <c r="D398" s="72" t="str">
        <f t="shared" si="10"/>
        <v/>
      </c>
      <c r="E398" s="72" t="str">
        <f t="shared" si="11"/>
        <v/>
      </c>
    </row>
    <row r="399" spans="4:5">
      <c r="D399" s="72" t="str">
        <f t="shared" si="10"/>
        <v/>
      </c>
      <c r="E399" s="72" t="str">
        <f t="shared" si="11"/>
        <v/>
      </c>
    </row>
    <row r="400" spans="4:5">
      <c r="D400" s="72" t="str">
        <f t="shared" si="10"/>
        <v/>
      </c>
      <c r="E400" s="72" t="str">
        <f t="shared" si="11"/>
        <v/>
      </c>
    </row>
    <row r="401" spans="4:5">
      <c r="D401" s="72" t="str">
        <f t="shared" si="10"/>
        <v/>
      </c>
      <c r="E401" s="72" t="str">
        <f t="shared" si="11"/>
        <v/>
      </c>
    </row>
    <row r="402" spans="4:5">
      <c r="D402" s="72" t="str">
        <f t="shared" si="10"/>
        <v/>
      </c>
      <c r="E402" s="72" t="str">
        <f t="shared" si="11"/>
        <v/>
      </c>
    </row>
    <row r="403" spans="4:5">
      <c r="D403" s="72" t="str">
        <f t="shared" si="10"/>
        <v/>
      </c>
      <c r="E403" s="72" t="str">
        <f t="shared" si="11"/>
        <v/>
      </c>
    </row>
    <row r="404" spans="4:5">
      <c r="D404" s="72" t="str">
        <f t="shared" ref="D404:D467" si="12">IF(B404&gt;$B$4,IF(B404&lt;$B$5,B404,""),"")</f>
        <v/>
      </c>
      <c r="E404" s="72" t="str">
        <f t="shared" ref="E404:E467" si="13">IF(D404="","",C404)</f>
        <v/>
      </c>
    </row>
    <row r="405" spans="4:5">
      <c r="D405" s="72" t="str">
        <f t="shared" si="12"/>
        <v/>
      </c>
      <c r="E405" s="72" t="str">
        <f t="shared" si="13"/>
        <v/>
      </c>
    </row>
    <row r="406" spans="4:5">
      <c r="D406" s="72" t="str">
        <f t="shared" si="12"/>
        <v/>
      </c>
      <c r="E406" s="72" t="str">
        <f t="shared" si="13"/>
        <v/>
      </c>
    </row>
    <row r="407" spans="4:5">
      <c r="D407" s="72" t="str">
        <f t="shared" si="12"/>
        <v/>
      </c>
      <c r="E407" s="72" t="str">
        <f t="shared" si="13"/>
        <v/>
      </c>
    </row>
    <row r="408" spans="4:5">
      <c r="D408" s="72" t="str">
        <f t="shared" si="12"/>
        <v/>
      </c>
      <c r="E408" s="72" t="str">
        <f t="shared" si="13"/>
        <v/>
      </c>
    </row>
    <row r="409" spans="4:5">
      <c r="D409" s="72" t="str">
        <f t="shared" si="12"/>
        <v/>
      </c>
      <c r="E409" s="72" t="str">
        <f t="shared" si="13"/>
        <v/>
      </c>
    </row>
    <row r="410" spans="4:5">
      <c r="D410" s="72" t="str">
        <f t="shared" si="12"/>
        <v/>
      </c>
      <c r="E410" s="72" t="str">
        <f t="shared" si="13"/>
        <v/>
      </c>
    </row>
    <row r="411" spans="4:5">
      <c r="D411" s="72" t="str">
        <f t="shared" si="12"/>
        <v/>
      </c>
      <c r="E411" s="72" t="str">
        <f t="shared" si="13"/>
        <v/>
      </c>
    </row>
    <row r="412" spans="4:5">
      <c r="D412" s="72" t="str">
        <f t="shared" si="12"/>
        <v/>
      </c>
      <c r="E412" s="72" t="str">
        <f t="shared" si="13"/>
        <v/>
      </c>
    </row>
    <row r="413" spans="4:5">
      <c r="D413" s="72" t="str">
        <f t="shared" si="12"/>
        <v/>
      </c>
      <c r="E413" s="72" t="str">
        <f t="shared" si="13"/>
        <v/>
      </c>
    </row>
    <row r="414" spans="4:5">
      <c r="D414" s="72" t="str">
        <f t="shared" si="12"/>
        <v/>
      </c>
      <c r="E414" s="72" t="str">
        <f t="shared" si="13"/>
        <v/>
      </c>
    </row>
    <row r="415" spans="4:5">
      <c r="D415" s="72" t="str">
        <f t="shared" si="12"/>
        <v/>
      </c>
      <c r="E415" s="72" t="str">
        <f t="shared" si="13"/>
        <v/>
      </c>
    </row>
    <row r="416" spans="4:5">
      <c r="D416" s="72" t="str">
        <f t="shared" si="12"/>
        <v/>
      </c>
      <c r="E416" s="72" t="str">
        <f t="shared" si="13"/>
        <v/>
      </c>
    </row>
    <row r="417" spans="4:5">
      <c r="D417" s="72" t="str">
        <f t="shared" si="12"/>
        <v/>
      </c>
      <c r="E417" s="72" t="str">
        <f t="shared" si="13"/>
        <v/>
      </c>
    </row>
    <row r="418" spans="4:5">
      <c r="D418" s="72" t="str">
        <f t="shared" si="12"/>
        <v/>
      </c>
      <c r="E418" s="72" t="str">
        <f t="shared" si="13"/>
        <v/>
      </c>
    </row>
    <row r="419" spans="4:5">
      <c r="D419" s="72" t="str">
        <f t="shared" si="12"/>
        <v/>
      </c>
      <c r="E419" s="72" t="str">
        <f t="shared" si="13"/>
        <v/>
      </c>
    </row>
    <row r="420" spans="4:5">
      <c r="D420" s="72" t="str">
        <f t="shared" si="12"/>
        <v/>
      </c>
      <c r="E420" s="72" t="str">
        <f t="shared" si="13"/>
        <v/>
      </c>
    </row>
    <row r="421" spans="4:5">
      <c r="D421" s="72" t="str">
        <f t="shared" si="12"/>
        <v/>
      </c>
      <c r="E421" s="72" t="str">
        <f t="shared" si="13"/>
        <v/>
      </c>
    </row>
    <row r="422" spans="4:5">
      <c r="D422" s="72" t="str">
        <f t="shared" si="12"/>
        <v/>
      </c>
      <c r="E422" s="72" t="str">
        <f t="shared" si="13"/>
        <v/>
      </c>
    </row>
    <row r="423" spans="4:5">
      <c r="D423" s="72" t="str">
        <f t="shared" si="12"/>
        <v/>
      </c>
      <c r="E423" s="72" t="str">
        <f t="shared" si="13"/>
        <v/>
      </c>
    </row>
    <row r="424" spans="4:5">
      <c r="D424" s="72" t="str">
        <f t="shared" si="12"/>
        <v/>
      </c>
      <c r="E424" s="72" t="str">
        <f t="shared" si="13"/>
        <v/>
      </c>
    </row>
    <row r="425" spans="4:5">
      <c r="D425" s="72" t="str">
        <f t="shared" si="12"/>
        <v/>
      </c>
      <c r="E425" s="72" t="str">
        <f t="shared" si="13"/>
        <v/>
      </c>
    </row>
    <row r="426" spans="4:5">
      <c r="D426" s="72" t="str">
        <f t="shared" si="12"/>
        <v/>
      </c>
      <c r="E426" s="72" t="str">
        <f t="shared" si="13"/>
        <v/>
      </c>
    </row>
    <row r="427" spans="4:5">
      <c r="D427" s="72" t="str">
        <f t="shared" si="12"/>
        <v/>
      </c>
      <c r="E427" s="72" t="str">
        <f t="shared" si="13"/>
        <v/>
      </c>
    </row>
    <row r="428" spans="4:5">
      <c r="D428" s="72" t="str">
        <f t="shared" si="12"/>
        <v/>
      </c>
      <c r="E428" s="72" t="str">
        <f t="shared" si="13"/>
        <v/>
      </c>
    </row>
    <row r="429" spans="4:5">
      <c r="D429" s="72" t="str">
        <f t="shared" si="12"/>
        <v/>
      </c>
      <c r="E429" s="72" t="str">
        <f t="shared" si="13"/>
        <v/>
      </c>
    </row>
    <row r="430" spans="4:5">
      <c r="D430" s="72" t="str">
        <f t="shared" si="12"/>
        <v/>
      </c>
      <c r="E430" s="72" t="str">
        <f t="shared" si="13"/>
        <v/>
      </c>
    </row>
    <row r="431" spans="4:5">
      <c r="D431" s="72" t="str">
        <f t="shared" si="12"/>
        <v/>
      </c>
      <c r="E431" s="72" t="str">
        <f t="shared" si="13"/>
        <v/>
      </c>
    </row>
    <row r="432" spans="4:5">
      <c r="D432" s="72" t="str">
        <f t="shared" si="12"/>
        <v/>
      </c>
      <c r="E432" s="72" t="str">
        <f t="shared" si="13"/>
        <v/>
      </c>
    </row>
    <row r="433" spans="4:5">
      <c r="D433" s="72" t="str">
        <f t="shared" si="12"/>
        <v/>
      </c>
      <c r="E433" s="72" t="str">
        <f t="shared" si="13"/>
        <v/>
      </c>
    </row>
    <row r="434" spans="4:5">
      <c r="D434" s="72" t="str">
        <f t="shared" si="12"/>
        <v/>
      </c>
      <c r="E434" s="72" t="str">
        <f t="shared" si="13"/>
        <v/>
      </c>
    </row>
    <row r="435" spans="4:5">
      <c r="D435" s="72" t="str">
        <f t="shared" si="12"/>
        <v/>
      </c>
      <c r="E435" s="72" t="str">
        <f t="shared" si="13"/>
        <v/>
      </c>
    </row>
    <row r="436" spans="4:5">
      <c r="D436" s="72" t="str">
        <f t="shared" si="12"/>
        <v/>
      </c>
      <c r="E436" s="72" t="str">
        <f t="shared" si="13"/>
        <v/>
      </c>
    </row>
    <row r="437" spans="4:5">
      <c r="D437" s="72" t="str">
        <f t="shared" si="12"/>
        <v/>
      </c>
      <c r="E437" s="72" t="str">
        <f t="shared" si="13"/>
        <v/>
      </c>
    </row>
    <row r="438" spans="4:5">
      <c r="D438" s="72" t="str">
        <f t="shared" si="12"/>
        <v/>
      </c>
      <c r="E438" s="72" t="str">
        <f t="shared" si="13"/>
        <v/>
      </c>
    </row>
    <row r="439" spans="4:5">
      <c r="D439" s="72" t="str">
        <f t="shared" si="12"/>
        <v/>
      </c>
      <c r="E439" s="72" t="str">
        <f t="shared" si="13"/>
        <v/>
      </c>
    </row>
    <row r="440" spans="4:5">
      <c r="D440" s="72" t="str">
        <f t="shared" si="12"/>
        <v/>
      </c>
      <c r="E440" s="72" t="str">
        <f t="shared" si="13"/>
        <v/>
      </c>
    </row>
    <row r="441" spans="4:5">
      <c r="D441" s="72" t="str">
        <f t="shared" si="12"/>
        <v/>
      </c>
      <c r="E441" s="72" t="str">
        <f t="shared" si="13"/>
        <v/>
      </c>
    </row>
    <row r="442" spans="4:5">
      <c r="D442" s="72" t="str">
        <f t="shared" si="12"/>
        <v/>
      </c>
      <c r="E442" s="72" t="str">
        <f t="shared" si="13"/>
        <v/>
      </c>
    </row>
    <row r="443" spans="4:5">
      <c r="D443" s="72" t="str">
        <f t="shared" si="12"/>
        <v/>
      </c>
      <c r="E443" s="72" t="str">
        <f t="shared" si="13"/>
        <v/>
      </c>
    </row>
    <row r="444" spans="4:5">
      <c r="D444" s="72" t="str">
        <f t="shared" si="12"/>
        <v/>
      </c>
      <c r="E444" s="72" t="str">
        <f t="shared" si="13"/>
        <v/>
      </c>
    </row>
    <row r="445" spans="4:5">
      <c r="D445" s="72" t="str">
        <f t="shared" si="12"/>
        <v/>
      </c>
      <c r="E445" s="72" t="str">
        <f t="shared" si="13"/>
        <v/>
      </c>
    </row>
    <row r="446" spans="4:5">
      <c r="D446" s="72" t="str">
        <f t="shared" si="12"/>
        <v/>
      </c>
      <c r="E446" s="72" t="str">
        <f t="shared" si="13"/>
        <v/>
      </c>
    </row>
    <row r="447" spans="4:5">
      <c r="D447" s="72" t="str">
        <f t="shared" si="12"/>
        <v/>
      </c>
      <c r="E447" s="72" t="str">
        <f t="shared" si="13"/>
        <v/>
      </c>
    </row>
    <row r="448" spans="4:5">
      <c r="D448" s="72" t="str">
        <f t="shared" si="12"/>
        <v/>
      </c>
      <c r="E448" s="72" t="str">
        <f t="shared" si="13"/>
        <v/>
      </c>
    </row>
    <row r="449" spans="4:5">
      <c r="D449" s="72" t="str">
        <f t="shared" si="12"/>
        <v/>
      </c>
      <c r="E449" s="72" t="str">
        <f t="shared" si="13"/>
        <v/>
      </c>
    </row>
    <row r="450" spans="4:5">
      <c r="D450" s="72" t="str">
        <f t="shared" si="12"/>
        <v/>
      </c>
      <c r="E450" s="72" t="str">
        <f t="shared" si="13"/>
        <v/>
      </c>
    </row>
    <row r="451" spans="4:5">
      <c r="D451" s="72" t="str">
        <f t="shared" si="12"/>
        <v/>
      </c>
      <c r="E451" s="72" t="str">
        <f t="shared" si="13"/>
        <v/>
      </c>
    </row>
    <row r="452" spans="4:5">
      <c r="D452" s="72" t="str">
        <f t="shared" si="12"/>
        <v/>
      </c>
      <c r="E452" s="72" t="str">
        <f t="shared" si="13"/>
        <v/>
      </c>
    </row>
    <row r="453" spans="4:5">
      <c r="D453" s="72" t="str">
        <f t="shared" si="12"/>
        <v/>
      </c>
      <c r="E453" s="72" t="str">
        <f t="shared" si="13"/>
        <v/>
      </c>
    </row>
    <row r="454" spans="4:5">
      <c r="D454" s="72" t="str">
        <f t="shared" si="12"/>
        <v/>
      </c>
      <c r="E454" s="72" t="str">
        <f t="shared" si="13"/>
        <v/>
      </c>
    </row>
    <row r="455" spans="4:5">
      <c r="D455" s="72" t="str">
        <f t="shared" si="12"/>
        <v/>
      </c>
      <c r="E455" s="72" t="str">
        <f t="shared" si="13"/>
        <v/>
      </c>
    </row>
    <row r="456" spans="4:5">
      <c r="D456" s="72" t="str">
        <f t="shared" si="12"/>
        <v/>
      </c>
      <c r="E456" s="72" t="str">
        <f t="shared" si="13"/>
        <v/>
      </c>
    </row>
    <row r="457" spans="4:5">
      <c r="D457" s="72" t="str">
        <f t="shared" si="12"/>
        <v/>
      </c>
      <c r="E457" s="72" t="str">
        <f t="shared" si="13"/>
        <v/>
      </c>
    </row>
    <row r="458" spans="4:5">
      <c r="D458" s="72" t="str">
        <f t="shared" si="12"/>
        <v/>
      </c>
      <c r="E458" s="72" t="str">
        <f t="shared" si="13"/>
        <v/>
      </c>
    </row>
    <row r="459" spans="4:5">
      <c r="D459" s="72" t="str">
        <f t="shared" si="12"/>
        <v/>
      </c>
      <c r="E459" s="72" t="str">
        <f t="shared" si="13"/>
        <v/>
      </c>
    </row>
    <row r="460" spans="4:5">
      <c r="D460" s="72" t="str">
        <f t="shared" si="12"/>
        <v/>
      </c>
      <c r="E460" s="72" t="str">
        <f t="shared" si="13"/>
        <v/>
      </c>
    </row>
    <row r="461" spans="4:5">
      <c r="D461" s="72" t="str">
        <f t="shared" si="12"/>
        <v/>
      </c>
      <c r="E461" s="72" t="str">
        <f t="shared" si="13"/>
        <v/>
      </c>
    </row>
    <row r="462" spans="4:5">
      <c r="D462" s="72" t="str">
        <f t="shared" si="12"/>
        <v/>
      </c>
      <c r="E462" s="72" t="str">
        <f t="shared" si="13"/>
        <v/>
      </c>
    </row>
    <row r="463" spans="4:5">
      <c r="D463" s="72" t="str">
        <f t="shared" si="12"/>
        <v/>
      </c>
      <c r="E463" s="72" t="str">
        <f t="shared" si="13"/>
        <v/>
      </c>
    </row>
    <row r="464" spans="4:5">
      <c r="D464" s="72" t="str">
        <f t="shared" si="12"/>
        <v/>
      </c>
      <c r="E464" s="72" t="str">
        <f t="shared" si="13"/>
        <v/>
      </c>
    </row>
    <row r="465" spans="4:5">
      <c r="D465" s="72" t="str">
        <f t="shared" si="12"/>
        <v/>
      </c>
      <c r="E465" s="72" t="str">
        <f t="shared" si="13"/>
        <v/>
      </c>
    </row>
    <row r="466" spans="4:5">
      <c r="D466" s="72" t="str">
        <f t="shared" si="12"/>
        <v/>
      </c>
      <c r="E466" s="72" t="str">
        <f t="shared" si="13"/>
        <v/>
      </c>
    </row>
    <row r="467" spans="4:5">
      <c r="D467" s="72" t="str">
        <f t="shared" si="12"/>
        <v/>
      </c>
      <c r="E467" s="72" t="str">
        <f t="shared" si="13"/>
        <v/>
      </c>
    </row>
    <row r="468" spans="4:5">
      <c r="D468" s="72" t="str">
        <f t="shared" ref="D468:D531" si="14">IF(B468&gt;$B$4,IF(B468&lt;$B$5,B468,""),"")</f>
        <v/>
      </c>
      <c r="E468" s="72" t="str">
        <f t="shared" ref="E468:E531" si="15">IF(D468="","",C468)</f>
        <v/>
      </c>
    </row>
    <row r="469" spans="4:5">
      <c r="D469" s="72" t="str">
        <f t="shared" si="14"/>
        <v/>
      </c>
      <c r="E469" s="72" t="str">
        <f t="shared" si="15"/>
        <v/>
      </c>
    </row>
    <row r="470" spans="4:5">
      <c r="D470" s="72" t="str">
        <f t="shared" si="14"/>
        <v/>
      </c>
      <c r="E470" s="72" t="str">
        <f t="shared" si="15"/>
        <v/>
      </c>
    </row>
    <row r="471" spans="4:5">
      <c r="D471" s="72" t="str">
        <f t="shared" si="14"/>
        <v/>
      </c>
      <c r="E471" s="72" t="str">
        <f t="shared" si="15"/>
        <v/>
      </c>
    </row>
    <row r="472" spans="4:5">
      <c r="D472" s="72" t="str">
        <f t="shared" si="14"/>
        <v/>
      </c>
      <c r="E472" s="72" t="str">
        <f t="shared" si="15"/>
        <v/>
      </c>
    </row>
    <row r="473" spans="4:5">
      <c r="D473" s="72" t="str">
        <f t="shared" si="14"/>
        <v/>
      </c>
      <c r="E473" s="72" t="str">
        <f t="shared" si="15"/>
        <v/>
      </c>
    </row>
    <row r="474" spans="4:5">
      <c r="D474" s="72" t="str">
        <f t="shared" si="14"/>
        <v/>
      </c>
      <c r="E474" s="72" t="str">
        <f t="shared" si="15"/>
        <v/>
      </c>
    </row>
    <row r="475" spans="4:5">
      <c r="D475" s="72" t="str">
        <f t="shared" si="14"/>
        <v/>
      </c>
      <c r="E475" s="72" t="str">
        <f t="shared" si="15"/>
        <v/>
      </c>
    </row>
    <row r="476" spans="4:5">
      <c r="D476" s="72" t="str">
        <f t="shared" si="14"/>
        <v/>
      </c>
      <c r="E476" s="72" t="str">
        <f t="shared" si="15"/>
        <v/>
      </c>
    </row>
    <row r="477" spans="4:5">
      <c r="D477" s="72" t="str">
        <f t="shared" si="14"/>
        <v/>
      </c>
      <c r="E477" s="72" t="str">
        <f t="shared" si="15"/>
        <v/>
      </c>
    </row>
    <row r="478" spans="4:5">
      <c r="D478" s="72" t="str">
        <f t="shared" si="14"/>
        <v/>
      </c>
      <c r="E478" s="72" t="str">
        <f t="shared" si="15"/>
        <v/>
      </c>
    </row>
    <row r="479" spans="4:5">
      <c r="D479" s="72" t="str">
        <f t="shared" si="14"/>
        <v/>
      </c>
      <c r="E479" s="72" t="str">
        <f t="shared" si="15"/>
        <v/>
      </c>
    </row>
    <row r="480" spans="4:5">
      <c r="D480" s="72" t="str">
        <f t="shared" si="14"/>
        <v/>
      </c>
      <c r="E480" s="72" t="str">
        <f t="shared" si="15"/>
        <v/>
      </c>
    </row>
    <row r="481" spans="4:5">
      <c r="D481" s="72" t="str">
        <f t="shared" si="14"/>
        <v/>
      </c>
      <c r="E481" s="72" t="str">
        <f t="shared" si="15"/>
        <v/>
      </c>
    </row>
    <row r="482" spans="4:5">
      <c r="D482" s="72" t="str">
        <f t="shared" si="14"/>
        <v/>
      </c>
      <c r="E482" s="72" t="str">
        <f t="shared" si="15"/>
        <v/>
      </c>
    </row>
    <row r="483" spans="4:5">
      <c r="D483" s="72" t="str">
        <f t="shared" si="14"/>
        <v/>
      </c>
      <c r="E483" s="72" t="str">
        <f t="shared" si="15"/>
        <v/>
      </c>
    </row>
    <row r="484" spans="4:5">
      <c r="D484" s="72" t="str">
        <f t="shared" si="14"/>
        <v/>
      </c>
      <c r="E484" s="72" t="str">
        <f t="shared" si="15"/>
        <v/>
      </c>
    </row>
    <row r="485" spans="4:5">
      <c r="D485" s="72" t="str">
        <f t="shared" si="14"/>
        <v/>
      </c>
      <c r="E485" s="72" t="str">
        <f t="shared" si="15"/>
        <v/>
      </c>
    </row>
    <row r="486" spans="4:5">
      <c r="D486" s="72" t="str">
        <f t="shared" si="14"/>
        <v/>
      </c>
      <c r="E486" s="72" t="str">
        <f t="shared" si="15"/>
        <v/>
      </c>
    </row>
    <row r="487" spans="4:5">
      <c r="D487" s="72" t="str">
        <f t="shared" si="14"/>
        <v/>
      </c>
      <c r="E487" s="72" t="str">
        <f t="shared" si="15"/>
        <v/>
      </c>
    </row>
    <row r="488" spans="4:5">
      <c r="D488" s="72" t="str">
        <f t="shared" si="14"/>
        <v/>
      </c>
      <c r="E488" s="72" t="str">
        <f t="shared" si="15"/>
        <v/>
      </c>
    </row>
    <row r="489" spans="4:5">
      <c r="D489" s="72" t="str">
        <f t="shared" si="14"/>
        <v/>
      </c>
      <c r="E489" s="72" t="str">
        <f t="shared" si="15"/>
        <v/>
      </c>
    </row>
    <row r="490" spans="4:5">
      <c r="D490" s="72" t="str">
        <f t="shared" si="14"/>
        <v/>
      </c>
      <c r="E490" s="72" t="str">
        <f t="shared" si="15"/>
        <v/>
      </c>
    </row>
    <row r="491" spans="4:5">
      <c r="D491" s="72" t="str">
        <f t="shared" si="14"/>
        <v/>
      </c>
      <c r="E491" s="72" t="str">
        <f t="shared" si="15"/>
        <v/>
      </c>
    </row>
    <row r="492" spans="4:5">
      <c r="D492" s="72" t="str">
        <f t="shared" si="14"/>
        <v/>
      </c>
      <c r="E492" s="72" t="str">
        <f t="shared" si="15"/>
        <v/>
      </c>
    </row>
    <row r="493" spans="4:5">
      <c r="D493" s="72" t="str">
        <f t="shared" si="14"/>
        <v/>
      </c>
      <c r="E493" s="72" t="str">
        <f t="shared" si="15"/>
        <v/>
      </c>
    </row>
    <row r="494" spans="4:5">
      <c r="D494" s="72" t="str">
        <f t="shared" si="14"/>
        <v/>
      </c>
      <c r="E494" s="72" t="str">
        <f t="shared" si="15"/>
        <v/>
      </c>
    </row>
    <row r="495" spans="4:5">
      <c r="D495" s="72" t="str">
        <f t="shared" si="14"/>
        <v/>
      </c>
      <c r="E495" s="72" t="str">
        <f t="shared" si="15"/>
        <v/>
      </c>
    </row>
    <row r="496" spans="4:5">
      <c r="D496" s="72" t="str">
        <f t="shared" si="14"/>
        <v/>
      </c>
      <c r="E496" s="72" t="str">
        <f t="shared" si="15"/>
        <v/>
      </c>
    </row>
    <row r="497" spans="4:5">
      <c r="D497" s="72" t="str">
        <f t="shared" si="14"/>
        <v/>
      </c>
      <c r="E497" s="72" t="str">
        <f t="shared" si="15"/>
        <v/>
      </c>
    </row>
    <row r="498" spans="4:5">
      <c r="D498" s="72" t="str">
        <f t="shared" si="14"/>
        <v/>
      </c>
      <c r="E498" s="72" t="str">
        <f t="shared" si="15"/>
        <v/>
      </c>
    </row>
    <row r="499" spans="4:5">
      <c r="D499" s="72" t="str">
        <f t="shared" si="14"/>
        <v/>
      </c>
      <c r="E499" s="72" t="str">
        <f t="shared" si="15"/>
        <v/>
      </c>
    </row>
    <row r="500" spans="4:5">
      <c r="D500" s="72" t="str">
        <f t="shared" si="14"/>
        <v/>
      </c>
      <c r="E500" s="72" t="str">
        <f t="shared" si="15"/>
        <v/>
      </c>
    </row>
    <row r="501" spans="4:5">
      <c r="D501" s="72" t="str">
        <f t="shared" si="14"/>
        <v/>
      </c>
      <c r="E501" s="72" t="str">
        <f t="shared" si="15"/>
        <v/>
      </c>
    </row>
    <row r="502" spans="4:5">
      <c r="D502" s="72" t="str">
        <f t="shared" si="14"/>
        <v/>
      </c>
      <c r="E502" s="72" t="str">
        <f t="shared" si="15"/>
        <v/>
      </c>
    </row>
    <row r="503" spans="4:5">
      <c r="D503" s="72" t="str">
        <f t="shared" si="14"/>
        <v/>
      </c>
      <c r="E503" s="72" t="str">
        <f t="shared" si="15"/>
        <v/>
      </c>
    </row>
    <row r="504" spans="4:5">
      <c r="D504" s="72" t="str">
        <f t="shared" si="14"/>
        <v/>
      </c>
      <c r="E504" s="72" t="str">
        <f t="shared" si="15"/>
        <v/>
      </c>
    </row>
    <row r="505" spans="4:5">
      <c r="D505" s="72" t="str">
        <f t="shared" si="14"/>
        <v/>
      </c>
      <c r="E505" s="72" t="str">
        <f t="shared" si="15"/>
        <v/>
      </c>
    </row>
    <row r="506" spans="4:5">
      <c r="D506" s="72" t="str">
        <f t="shared" si="14"/>
        <v/>
      </c>
      <c r="E506" s="72" t="str">
        <f t="shared" si="15"/>
        <v/>
      </c>
    </row>
    <row r="507" spans="4:5">
      <c r="D507" s="72" t="str">
        <f t="shared" si="14"/>
        <v/>
      </c>
      <c r="E507" s="72" t="str">
        <f t="shared" si="15"/>
        <v/>
      </c>
    </row>
    <row r="508" spans="4:5">
      <c r="D508" s="72" t="str">
        <f t="shared" si="14"/>
        <v/>
      </c>
      <c r="E508" s="72" t="str">
        <f t="shared" si="15"/>
        <v/>
      </c>
    </row>
    <row r="509" spans="4:5">
      <c r="D509" s="72" t="str">
        <f t="shared" si="14"/>
        <v/>
      </c>
      <c r="E509" s="72" t="str">
        <f t="shared" si="15"/>
        <v/>
      </c>
    </row>
    <row r="510" spans="4:5">
      <c r="D510" s="72" t="str">
        <f t="shared" si="14"/>
        <v/>
      </c>
      <c r="E510" s="72" t="str">
        <f t="shared" si="15"/>
        <v/>
      </c>
    </row>
    <row r="511" spans="4:5">
      <c r="D511" s="72" t="str">
        <f t="shared" si="14"/>
        <v/>
      </c>
      <c r="E511" s="72" t="str">
        <f t="shared" si="15"/>
        <v/>
      </c>
    </row>
    <row r="512" spans="4:5">
      <c r="D512" s="72" t="str">
        <f t="shared" si="14"/>
        <v/>
      </c>
      <c r="E512" s="72" t="str">
        <f t="shared" si="15"/>
        <v/>
      </c>
    </row>
    <row r="513" spans="4:5">
      <c r="D513" s="72" t="str">
        <f t="shared" si="14"/>
        <v/>
      </c>
      <c r="E513" s="72" t="str">
        <f t="shared" si="15"/>
        <v/>
      </c>
    </row>
    <row r="514" spans="4:5">
      <c r="D514" s="72" t="str">
        <f t="shared" si="14"/>
        <v/>
      </c>
      <c r="E514" s="72" t="str">
        <f t="shared" si="15"/>
        <v/>
      </c>
    </row>
    <row r="515" spans="4:5">
      <c r="D515" s="72" t="str">
        <f t="shared" si="14"/>
        <v/>
      </c>
      <c r="E515" s="72" t="str">
        <f t="shared" si="15"/>
        <v/>
      </c>
    </row>
    <row r="516" spans="4:5">
      <c r="D516" s="72" t="str">
        <f t="shared" si="14"/>
        <v/>
      </c>
      <c r="E516" s="72" t="str">
        <f t="shared" si="15"/>
        <v/>
      </c>
    </row>
    <row r="517" spans="4:5">
      <c r="D517" s="72" t="str">
        <f t="shared" si="14"/>
        <v/>
      </c>
      <c r="E517" s="72" t="str">
        <f t="shared" si="15"/>
        <v/>
      </c>
    </row>
    <row r="518" spans="4:5">
      <c r="D518" s="72" t="str">
        <f t="shared" si="14"/>
        <v/>
      </c>
      <c r="E518" s="72" t="str">
        <f t="shared" si="15"/>
        <v/>
      </c>
    </row>
    <row r="519" spans="4:5">
      <c r="D519" s="72" t="str">
        <f t="shared" si="14"/>
        <v/>
      </c>
      <c r="E519" s="72" t="str">
        <f t="shared" si="15"/>
        <v/>
      </c>
    </row>
    <row r="520" spans="4:5">
      <c r="D520" s="72" t="str">
        <f t="shared" si="14"/>
        <v/>
      </c>
      <c r="E520" s="72" t="str">
        <f t="shared" si="15"/>
        <v/>
      </c>
    </row>
    <row r="521" spans="4:5">
      <c r="D521" s="72" t="str">
        <f t="shared" si="14"/>
        <v/>
      </c>
      <c r="E521" s="72" t="str">
        <f t="shared" si="15"/>
        <v/>
      </c>
    </row>
    <row r="522" spans="4:5">
      <c r="D522" s="72" t="str">
        <f t="shared" si="14"/>
        <v/>
      </c>
      <c r="E522" s="72" t="str">
        <f t="shared" si="15"/>
        <v/>
      </c>
    </row>
    <row r="523" spans="4:5">
      <c r="D523" s="72" t="str">
        <f t="shared" si="14"/>
        <v/>
      </c>
      <c r="E523" s="72" t="str">
        <f t="shared" si="15"/>
        <v/>
      </c>
    </row>
    <row r="524" spans="4:5">
      <c r="D524" s="72" t="str">
        <f t="shared" si="14"/>
        <v/>
      </c>
      <c r="E524" s="72" t="str">
        <f t="shared" si="15"/>
        <v/>
      </c>
    </row>
    <row r="525" spans="4:5">
      <c r="D525" s="72" t="str">
        <f t="shared" si="14"/>
        <v/>
      </c>
      <c r="E525" s="72" t="str">
        <f t="shared" si="15"/>
        <v/>
      </c>
    </row>
    <row r="526" spans="4:5">
      <c r="D526" s="72" t="str">
        <f t="shared" si="14"/>
        <v/>
      </c>
      <c r="E526" s="72" t="str">
        <f t="shared" si="15"/>
        <v/>
      </c>
    </row>
    <row r="527" spans="4:5">
      <c r="D527" s="72" t="str">
        <f t="shared" si="14"/>
        <v/>
      </c>
      <c r="E527" s="72" t="str">
        <f t="shared" si="15"/>
        <v/>
      </c>
    </row>
    <row r="528" spans="4:5">
      <c r="D528" s="72" t="str">
        <f t="shared" si="14"/>
        <v/>
      </c>
      <c r="E528" s="72" t="str">
        <f t="shared" si="15"/>
        <v/>
      </c>
    </row>
    <row r="529" spans="4:5">
      <c r="D529" s="72" t="str">
        <f t="shared" si="14"/>
        <v/>
      </c>
      <c r="E529" s="72" t="str">
        <f t="shared" si="15"/>
        <v/>
      </c>
    </row>
    <row r="530" spans="4:5">
      <c r="D530" s="72" t="str">
        <f t="shared" si="14"/>
        <v/>
      </c>
      <c r="E530" s="72" t="str">
        <f t="shared" si="15"/>
        <v/>
      </c>
    </row>
    <row r="531" spans="4:5">
      <c r="D531" s="72" t="str">
        <f t="shared" si="14"/>
        <v/>
      </c>
      <c r="E531" s="72" t="str">
        <f t="shared" si="15"/>
        <v/>
      </c>
    </row>
    <row r="532" spans="4:5">
      <c r="D532" s="72" t="str">
        <f t="shared" ref="D532:D595" si="16">IF(B532&gt;$B$4,IF(B532&lt;$B$5,B532,""),"")</f>
        <v/>
      </c>
      <c r="E532" s="72" t="str">
        <f t="shared" ref="E532:E595" si="17">IF(D532="","",C532)</f>
        <v/>
      </c>
    </row>
    <row r="533" spans="4:5">
      <c r="D533" s="72" t="str">
        <f t="shared" si="16"/>
        <v/>
      </c>
      <c r="E533" s="72" t="str">
        <f t="shared" si="17"/>
        <v/>
      </c>
    </row>
    <row r="534" spans="4:5">
      <c r="D534" s="72" t="str">
        <f t="shared" si="16"/>
        <v/>
      </c>
      <c r="E534" s="72" t="str">
        <f t="shared" si="17"/>
        <v/>
      </c>
    </row>
    <row r="535" spans="4:5">
      <c r="D535" s="72" t="str">
        <f t="shared" si="16"/>
        <v/>
      </c>
      <c r="E535" s="72" t="str">
        <f t="shared" si="17"/>
        <v/>
      </c>
    </row>
    <row r="536" spans="4:5">
      <c r="D536" s="72" t="str">
        <f t="shared" si="16"/>
        <v/>
      </c>
      <c r="E536" s="72" t="str">
        <f t="shared" si="17"/>
        <v/>
      </c>
    </row>
    <row r="537" spans="4:5">
      <c r="D537" s="72" t="str">
        <f t="shared" si="16"/>
        <v/>
      </c>
      <c r="E537" s="72" t="str">
        <f t="shared" si="17"/>
        <v/>
      </c>
    </row>
    <row r="538" spans="4:5">
      <c r="D538" s="72" t="str">
        <f t="shared" si="16"/>
        <v/>
      </c>
      <c r="E538" s="72" t="str">
        <f t="shared" si="17"/>
        <v/>
      </c>
    </row>
    <row r="539" spans="4:5">
      <c r="D539" s="72" t="str">
        <f t="shared" si="16"/>
        <v/>
      </c>
      <c r="E539" s="72" t="str">
        <f t="shared" si="17"/>
        <v/>
      </c>
    </row>
    <row r="540" spans="4:5">
      <c r="D540" s="72" t="str">
        <f t="shared" si="16"/>
        <v/>
      </c>
      <c r="E540" s="72" t="str">
        <f t="shared" si="17"/>
        <v/>
      </c>
    </row>
    <row r="541" spans="4:5">
      <c r="D541" s="72" t="str">
        <f t="shared" si="16"/>
        <v/>
      </c>
      <c r="E541" s="72" t="str">
        <f t="shared" si="17"/>
        <v/>
      </c>
    </row>
    <row r="542" spans="4:5">
      <c r="D542" s="72" t="str">
        <f t="shared" si="16"/>
        <v/>
      </c>
      <c r="E542" s="72" t="str">
        <f t="shared" si="17"/>
        <v/>
      </c>
    </row>
    <row r="543" spans="4:5">
      <c r="D543" s="72" t="str">
        <f t="shared" si="16"/>
        <v/>
      </c>
      <c r="E543" s="72" t="str">
        <f t="shared" si="17"/>
        <v/>
      </c>
    </row>
    <row r="544" spans="4:5">
      <c r="D544" s="72" t="str">
        <f t="shared" si="16"/>
        <v/>
      </c>
      <c r="E544" s="72" t="str">
        <f t="shared" si="17"/>
        <v/>
      </c>
    </row>
    <row r="545" spans="4:5">
      <c r="D545" s="72" t="str">
        <f t="shared" si="16"/>
        <v/>
      </c>
      <c r="E545" s="72" t="str">
        <f t="shared" si="17"/>
        <v/>
      </c>
    </row>
    <row r="546" spans="4:5">
      <c r="D546" s="72" t="str">
        <f t="shared" si="16"/>
        <v/>
      </c>
      <c r="E546" s="72" t="str">
        <f t="shared" si="17"/>
        <v/>
      </c>
    </row>
    <row r="547" spans="4:5">
      <c r="D547" s="72" t="str">
        <f t="shared" si="16"/>
        <v/>
      </c>
      <c r="E547" s="72" t="str">
        <f t="shared" si="17"/>
        <v/>
      </c>
    </row>
    <row r="548" spans="4:5">
      <c r="D548" s="72" t="str">
        <f t="shared" si="16"/>
        <v/>
      </c>
      <c r="E548" s="72" t="str">
        <f t="shared" si="17"/>
        <v/>
      </c>
    </row>
    <row r="549" spans="4:5">
      <c r="D549" s="72" t="str">
        <f t="shared" si="16"/>
        <v/>
      </c>
      <c r="E549" s="72" t="str">
        <f t="shared" si="17"/>
        <v/>
      </c>
    </row>
    <row r="550" spans="4:5">
      <c r="D550" s="72" t="str">
        <f t="shared" si="16"/>
        <v/>
      </c>
      <c r="E550" s="72" t="str">
        <f t="shared" si="17"/>
        <v/>
      </c>
    </row>
    <row r="551" spans="4:5">
      <c r="D551" s="72" t="str">
        <f t="shared" si="16"/>
        <v/>
      </c>
      <c r="E551" s="72" t="str">
        <f t="shared" si="17"/>
        <v/>
      </c>
    </row>
    <row r="552" spans="4:5">
      <c r="D552" s="72" t="str">
        <f t="shared" si="16"/>
        <v/>
      </c>
      <c r="E552" s="72" t="str">
        <f t="shared" si="17"/>
        <v/>
      </c>
    </row>
    <row r="553" spans="4:5">
      <c r="D553" s="72" t="str">
        <f t="shared" si="16"/>
        <v/>
      </c>
      <c r="E553" s="72" t="str">
        <f t="shared" si="17"/>
        <v/>
      </c>
    </row>
    <row r="554" spans="4:5">
      <c r="D554" s="72" t="str">
        <f t="shared" si="16"/>
        <v/>
      </c>
      <c r="E554" s="72" t="str">
        <f t="shared" si="17"/>
        <v/>
      </c>
    </row>
    <row r="555" spans="4:5">
      <c r="D555" s="72" t="str">
        <f t="shared" si="16"/>
        <v/>
      </c>
      <c r="E555" s="72" t="str">
        <f t="shared" si="17"/>
        <v/>
      </c>
    </row>
    <row r="556" spans="4:5">
      <c r="D556" s="72" t="str">
        <f t="shared" si="16"/>
        <v/>
      </c>
      <c r="E556" s="72" t="str">
        <f t="shared" si="17"/>
        <v/>
      </c>
    </row>
    <row r="557" spans="4:5">
      <c r="D557" s="72" t="str">
        <f t="shared" si="16"/>
        <v/>
      </c>
      <c r="E557" s="72" t="str">
        <f t="shared" si="17"/>
        <v/>
      </c>
    </row>
    <row r="558" spans="4:5">
      <c r="D558" s="72" t="str">
        <f t="shared" si="16"/>
        <v/>
      </c>
      <c r="E558" s="72" t="str">
        <f t="shared" si="17"/>
        <v/>
      </c>
    </row>
    <row r="559" spans="4:5">
      <c r="D559" s="72" t="str">
        <f t="shared" si="16"/>
        <v/>
      </c>
      <c r="E559" s="72" t="str">
        <f t="shared" si="17"/>
        <v/>
      </c>
    </row>
    <row r="560" spans="4:5">
      <c r="D560" s="72" t="str">
        <f t="shared" si="16"/>
        <v/>
      </c>
      <c r="E560" s="72" t="str">
        <f t="shared" si="17"/>
        <v/>
      </c>
    </row>
    <row r="561" spans="4:5">
      <c r="D561" s="72" t="str">
        <f t="shared" si="16"/>
        <v/>
      </c>
      <c r="E561" s="72" t="str">
        <f t="shared" si="17"/>
        <v/>
      </c>
    </row>
    <row r="562" spans="4:5">
      <c r="D562" s="72" t="str">
        <f t="shared" si="16"/>
        <v/>
      </c>
      <c r="E562" s="72" t="str">
        <f t="shared" si="17"/>
        <v/>
      </c>
    </row>
    <row r="563" spans="4:5">
      <c r="D563" s="72" t="str">
        <f t="shared" si="16"/>
        <v/>
      </c>
      <c r="E563" s="72" t="str">
        <f t="shared" si="17"/>
        <v/>
      </c>
    </row>
    <row r="564" spans="4:5">
      <c r="D564" s="72" t="str">
        <f t="shared" si="16"/>
        <v/>
      </c>
      <c r="E564" s="72" t="str">
        <f t="shared" si="17"/>
        <v/>
      </c>
    </row>
    <row r="565" spans="4:5">
      <c r="D565" s="72" t="str">
        <f t="shared" si="16"/>
        <v/>
      </c>
      <c r="E565" s="72" t="str">
        <f t="shared" si="17"/>
        <v/>
      </c>
    </row>
    <row r="566" spans="4:5">
      <c r="D566" s="72" t="str">
        <f t="shared" si="16"/>
        <v/>
      </c>
      <c r="E566" s="72" t="str">
        <f t="shared" si="17"/>
        <v/>
      </c>
    </row>
    <row r="567" spans="4:5">
      <c r="D567" s="72" t="str">
        <f t="shared" si="16"/>
        <v/>
      </c>
      <c r="E567" s="72" t="str">
        <f t="shared" si="17"/>
        <v/>
      </c>
    </row>
    <row r="568" spans="4:5">
      <c r="D568" s="72" t="str">
        <f t="shared" si="16"/>
        <v/>
      </c>
      <c r="E568" s="72" t="str">
        <f t="shared" si="17"/>
        <v/>
      </c>
    </row>
    <row r="569" spans="4:5">
      <c r="D569" s="72" t="str">
        <f t="shared" si="16"/>
        <v/>
      </c>
      <c r="E569" s="72" t="str">
        <f t="shared" si="17"/>
        <v/>
      </c>
    </row>
    <row r="570" spans="4:5">
      <c r="D570" s="72" t="str">
        <f t="shared" si="16"/>
        <v/>
      </c>
      <c r="E570" s="72" t="str">
        <f t="shared" si="17"/>
        <v/>
      </c>
    </row>
    <row r="571" spans="4:5">
      <c r="D571" s="72" t="str">
        <f t="shared" si="16"/>
        <v/>
      </c>
      <c r="E571" s="72" t="str">
        <f t="shared" si="17"/>
        <v/>
      </c>
    </row>
    <row r="572" spans="4:5">
      <c r="D572" s="72" t="str">
        <f t="shared" si="16"/>
        <v/>
      </c>
      <c r="E572" s="72" t="str">
        <f t="shared" si="17"/>
        <v/>
      </c>
    </row>
    <row r="573" spans="4:5">
      <c r="D573" s="72" t="str">
        <f t="shared" si="16"/>
        <v/>
      </c>
      <c r="E573" s="72" t="str">
        <f t="shared" si="17"/>
        <v/>
      </c>
    </row>
    <row r="574" spans="4:5">
      <c r="D574" s="72" t="str">
        <f t="shared" si="16"/>
        <v/>
      </c>
      <c r="E574" s="72" t="str">
        <f t="shared" si="17"/>
        <v/>
      </c>
    </row>
    <row r="575" spans="4:5">
      <c r="D575" s="72" t="str">
        <f t="shared" si="16"/>
        <v/>
      </c>
      <c r="E575" s="72" t="str">
        <f t="shared" si="17"/>
        <v/>
      </c>
    </row>
    <row r="576" spans="4:5">
      <c r="D576" s="72" t="str">
        <f t="shared" si="16"/>
        <v/>
      </c>
      <c r="E576" s="72" t="str">
        <f t="shared" si="17"/>
        <v/>
      </c>
    </row>
    <row r="577" spans="4:5">
      <c r="D577" s="72" t="str">
        <f t="shared" si="16"/>
        <v/>
      </c>
      <c r="E577" s="72" t="str">
        <f t="shared" si="17"/>
        <v/>
      </c>
    </row>
    <row r="578" spans="4:5">
      <c r="D578" s="72" t="str">
        <f t="shared" si="16"/>
        <v/>
      </c>
      <c r="E578" s="72" t="str">
        <f t="shared" si="17"/>
        <v/>
      </c>
    </row>
    <row r="579" spans="4:5">
      <c r="D579" s="72" t="str">
        <f t="shared" si="16"/>
        <v/>
      </c>
      <c r="E579" s="72" t="str">
        <f t="shared" si="17"/>
        <v/>
      </c>
    </row>
    <row r="580" spans="4:5">
      <c r="D580" s="72" t="str">
        <f t="shared" si="16"/>
        <v/>
      </c>
      <c r="E580" s="72" t="str">
        <f t="shared" si="17"/>
        <v/>
      </c>
    </row>
    <row r="581" spans="4:5">
      <c r="D581" s="72" t="str">
        <f t="shared" si="16"/>
        <v/>
      </c>
      <c r="E581" s="72" t="str">
        <f t="shared" si="17"/>
        <v/>
      </c>
    </row>
    <row r="582" spans="4:5">
      <c r="D582" s="72" t="str">
        <f t="shared" si="16"/>
        <v/>
      </c>
      <c r="E582" s="72" t="str">
        <f t="shared" si="17"/>
        <v/>
      </c>
    </row>
    <row r="583" spans="4:5">
      <c r="D583" s="72" t="str">
        <f t="shared" si="16"/>
        <v/>
      </c>
      <c r="E583" s="72" t="str">
        <f t="shared" si="17"/>
        <v/>
      </c>
    </row>
    <row r="584" spans="4:5">
      <c r="D584" s="72" t="str">
        <f t="shared" si="16"/>
        <v/>
      </c>
      <c r="E584" s="72" t="str">
        <f t="shared" si="17"/>
        <v/>
      </c>
    </row>
    <row r="585" spans="4:5">
      <c r="D585" s="72" t="str">
        <f t="shared" si="16"/>
        <v/>
      </c>
      <c r="E585" s="72" t="str">
        <f t="shared" si="17"/>
        <v/>
      </c>
    </row>
    <row r="586" spans="4:5">
      <c r="D586" s="72" t="str">
        <f t="shared" si="16"/>
        <v/>
      </c>
      <c r="E586" s="72" t="str">
        <f t="shared" si="17"/>
        <v/>
      </c>
    </row>
    <row r="587" spans="4:5">
      <c r="D587" s="72" t="str">
        <f t="shared" si="16"/>
        <v/>
      </c>
      <c r="E587" s="72" t="str">
        <f t="shared" si="17"/>
        <v/>
      </c>
    </row>
    <row r="588" spans="4:5">
      <c r="D588" s="72" t="str">
        <f t="shared" si="16"/>
        <v/>
      </c>
      <c r="E588" s="72" t="str">
        <f t="shared" si="17"/>
        <v/>
      </c>
    </row>
    <row r="589" spans="4:5">
      <c r="D589" s="72" t="str">
        <f t="shared" si="16"/>
        <v/>
      </c>
      <c r="E589" s="72" t="str">
        <f t="shared" si="17"/>
        <v/>
      </c>
    </row>
    <row r="590" spans="4:5">
      <c r="D590" s="72" t="str">
        <f t="shared" si="16"/>
        <v/>
      </c>
      <c r="E590" s="72" t="str">
        <f t="shared" si="17"/>
        <v/>
      </c>
    </row>
    <row r="591" spans="4:5">
      <c r="D591" s="72" t="str">
        <f t="shared" si="16"/>
        <v/>
      </c>
      <c r="E591" s="72" t="str">
        <f t="shared" si="17"/>
        <v/>
      </c>
    </row>
    <row r="592" spans="4:5">
      <c r="D592" s="72" t="str">
        <f t="shared" si="16"/>
        <v/>
      </c>
      <c r="E592" s="72" t="str">
        <f t="shared" si="17"/>
        <v/>
      </c>
    </row>
    <row r="593" spans="4:5">
      <c r="D593" s="72" t="str">
        <f t="shared" si="16"/>
        <v/>
      </c>
      <c r="E593" s="72" t="str">
        <f t="shared" si="17"/>
        <v/>
      </c>
    </row>
    <row r="594" spans="4:5">
      <c r="D594" s="72" t="str">
        <f t="shared" si="16"/>
        <v/>
      </c>
      <c r="E594" s="72" t="str">
        <f t="shared" si="17"/>
        <v/>
      </c>
    </row>
    <row r="595" spans="4:5">
      <c r="D595" s="72" t="str">
        <f t="shared" si="16"/>
        <v/>
      </c>
      <c r="E595" s="72" t="str">
        <f t="shared" si="17"/>
        <v/>
      </c>
    </row>
    <row r="596" spans="4:5">
      <c r="D596" s="72" t="str">
        <f t="shared" ref="D596:D659" si="18">IF(B596&gt;$B$4,IF(B596&lt;$B$5,B596,""),"")</f>
        <v/>
      </c>
      <c r="E596" s="72" t="str">
        <f t="shared" ref="E596:E659" si="19">IF(D596="","",C596)</f>
        <v/>
      </c>
    </row>
    <row r="597" spans="4:5">
      <c r="D597" s="72" t="str">
        <f t="shared" si="18"/>
        <v/>
      </c>
      <c r="E597" s="72" t="str">
        <f t="shared" si="19"/>
        <v/>
      </c>
    </row>
    <row r="598" spans="4:5">
      <c r="D598" s="72" t="str">
        <f t="shared" si="18"/>
        <v/>
      </c>
      <c r="E598" s="72" t="str">
        <f t="shared" si="19"/>
        <v/>
      </c>
    </row>
    <row r="599" spans="4:5">
      <c r="D599" s="72" t="str">
        <f t="shared" si="18"/>
        <v/>
      </c>
      <c r="E599" s="72" t="str">
        <f t="shared" si="19"/>
        <v/>
      </c>
    </row>
    <row r="600" spans="4:5">
      <c r="D600" s="72" t="str">
        <f t="shared" si="18"/>
        <v/>
      </c>
      <c r="E600" s="72" t="str">
        <f t="shared" si="19"/>
        <v/>
      </c>
    </row>
    <row r="601" spans="4:5">
      <c r="D601" s="72" t="str">
        <f t="shared" si="18"/>
        <v/>
      </c>
      <c r="E601" s="72" t="str">
        <f t="shared" si="19"/>
        <v/>
      </c>
    </row>
    <row r="602" spans="4:5">
      <c r="D602" s="72" t="str">
        <f t="shared" si="18"/>
        <v/>
      </c>
      <c r="E602" s="72" t="str">
        <f t="shared" si="19"/>
        <v/>
      </c>
    </row>
    <row r="603" spans="4:5">
      <c r="D603" s="72" t="str">
        <f t="shared" si="18"/>
        <v/>
      </c>
      <c r="E603" s="72" t="str">
        <f t="shared" si="19"/>
        <v/>
      </c>
    </row>
    <row r="604" spans="4:5">
      <c r="D604" s="72" t="str">
        <f t="shared" si="18"/>
        <v/>
      </c>
      <c r="E604" s="72" t="str">
        <f t="shared" si="19"/>
        <v/>
      </c>
    </row>
    <row r="605" spans="4:5">
      <c r="D605" s="72" t="str">
        <f t="shared" si="18"/>
        <v/>
      </c>
      <c r="E605" s="72" t="str">
        <f t="shared" si="19"/>
        <v/>
      </c>
    </row>
    <row r="606" spans="4:5">
      <c r="D606" s="72" t="str">
        <f t="shared" si="18"/>
        <v/>
      </c>
      <c r="E606" s="72" t="str">
        <f t="shared" si="19"/>
        <v/>
      </c>
    </row>
    <row r="607" spans="4:5">
      <c r="D607" s="72" t="str">
        <f t="shared" si="18"/>
        <v/>
      </c>
      <c r="E607" s="72" t="str">
        <f t="shared" si="19"/>
        <v/>
      </c>
    </row>
    <row r="608" spans="4:5">
      <c r="D608" s="72" t="str">
        <f t="shared" si="18"/>
        <v/>
      </c>
      <c r="E608" s="72" t="str">
        <f t="shared" si="19"/>
        <v/>
      </c>
    </row>
    <row r="609" spans="4:5">
      <c r="D609" s="72" t="str">
        <f t="shared" si="18"/>
        <v/>
      </c>
      <c r="E609" s="72" t="str">
        <f t="shared" si="19"/>
        <v/>
      </c>
    </row>
    <row r="610" spans="4:5">
      <c r="D610" s="72" t="str">
        <f t="shared" si="18"/>
        <v/>
      </c>
      <c r="E610" s="72" t="str">
        <f t="shared" si="19"/>
        <v/>
      </c>
    </row>
    <row r="611" spans="4:5">
      <c r="D611" s="72" t="str">
        <f t="shared" si="18"/>
        <v/>
      </c>
      <c r="E611" s="72" t="str">
        <f t="shared" si="19"/>
        <v/>
      </c>
    </row>
    <row r="612" spans="4:5">
      <c r="D612" s="72" t="str">
        <f t="shared" si="18"/>
        <v/>
      </c>
      <c r="E612" s="72" t="str">
        <f t="shared" si="19"/>
        <v/>
      </c>
    </row>
    <row r="613" spans="4:5">
      <c r="D613" s="72" t="str">
        <f t="shared" si="18"/>
        <v/>
      </c>
      <c r="E613" s="72" t="str">
        <f t="shared" si="19"/>
        <v/>
      </c>
    </row>
    <row r="614" spans="4:5">
      <c r="D614" s="72" t="str">
        <f t="shared" si="18"/>
        <v/>
      </c>
      <c r="E614" s="72" t="str">
        <f t="shared" si="19"/>
        <v/>
      </c>
    </row>
    <row r="615" spans="4:5">
      <c r="D615" s="72" t="str">
        <f t="shared" si="18"/>
        <v/>
      </c>
      <c r="E615" s="72" t="str">
        <f t="shared" si="19"/>
        <v/>
      </c>
    </row>
    <row r="616" spans="4:5">
      <c r="D616" s="72" t="str">
        <f t="shared" si="18"/>
        <v/>
      </c>
      <c r="E616" s="72" t="str">
        <f t="shared" si="19"/>
        <v/>
      </c>
    </row>
    <row r="617" spans="4:5">
      <c r="D617" s="72" t="str">
        <f t="shared" si="18"/>
        <v/>
      </c>
      <c r="E617" s="72" t="str">
        <f t="shared" si="19"/>
        <v/>
      </c>
    </row>
    <row r="618" spans="4:5">
      <c r="D618" s="72" t="str">
        <f t="shared" si="18"/>
        <v/>
      </c>
      <c r="E618" s="72" t="str">
        <f t="shared" si="19"/>
        <v/>
      </c>
    </row>
    <row r="619" spans="4:5">
      <c r="D619" s="72" t="str">
        <f t="shared" si="18"/>
        <v/>
      </c>
      <c r="E619" s="72" t="str">
        <f t="shared" si="19"/>
        <v/>
      </c>
    </row>
    <row r="620" spans="4:5">
      <c r="D620" s="72" t="str">
        <f t="shared" si="18"/>
        <v/>
      </c>
      <c r="E620" s="72" t="str">
        <f t="shared" si="19"/>
        <v/>
      </c>
    </row>
    <row r="621" spans="4:5">
      <c r="D621" s="72" t="str">
        <f t="shared" si="18"/>
        <v/>
      </c>
      <c r="E621" s="72" t="str">
        <f t="shared" si="19"/>
        <v/>
      </c>
    </row>
    <row r="622" spans="4:5">
      <c r="D622" s="72" t="str">
        <f t="shared" si="18"/>
        <v/>
      </c>
      <c r="E622" s="72" t="str">
        <f t="shared" si="19"/>
        <v/>
      </c>
    </row>
    <row r="623" spans="4:5">
      <c r="D623" s="72" t="str">
        <f t="shared" si="18"/>
        <v/>
      </c>
      <c r="E623" s="72" t="str">
        <f t="shared" si="19"/>
        <v/>
      </c>
    </row>
    <row r="624" spans="4:5">
      <c r="D624" s="72" t="str">
        <f t="shared" si="18"/>
        <v/>
      </c>
      <c r="E624" s="72" t="str">
        <f t="shared" si="19"/>
        <v/>
      </c>
    </row>
    <row r="625" spans="4:5">
      <c r="D625" s="72" t="str">
        <f t="shared" si="18"/>
        <v/>
      </c>
      <c r="E625" s="72" t="str">
        <f t="shared" si="19"/>
        <v/>
      </c>
    </row>
    <row r="626" spans="4:5">
      <c r="D626" s="72" t="str">
        <f t="shared" si="18"/>
        <v/>
      </c>
      <c r="E626" s="72" t="str">
        <f t="shared" si="19"/>
        <v/>
      </c>
    </row>
    <row r="627" spans="4:5">
      <c r="D627" s="72" t="str">
        <f t="shared" si="18"/>
        <v/>
      </c>
      <c r="E627" s="72" t="str">
        <f t="shared" si="19"/>
        <v/>
      </c>
    </row>
    <row r="628" spans="4:5">
      <c r="D628" s="72" t="str">
        <f t="shared" si="18"/>
        <v/>
      </c>
      <c r="E628" s="72" t="str">
        <f t="shared" si="19"/>
        <v/>
      </c>
    </row>
    <row r="629" spans="4:5">
      <c r="D629" s="72" t="str">
        <f t="shared" si="18"/>
        <v/>
      </c>
      <c r="E629" s="72" t="str">
        <f t="shared" si="19"/>
        <v/>
      </c>
    </row>
    <row r="630" spans="4:5">
      <c r="D630" s="72" t="str">
        <f t="shared" si="18"/>
        <v/>
      </c>
      <c r="E630" s="72" t="str">
        <f t="shared" si="19"/>
        <v/>
      </c>
    </row>
    <row r="631" spans="4:5">
      <c r="D631" s="72" t="str">
        <f t="shared" si="18"/>
        <v/>
      </c>
      <c r="E631" s="72" t="str">
        <f t="shared" si="19"/>
        <v/>
      </c>
    </row>
    <row r="632" spans="4:5">
      <c r="D632" s="72" t="str">
        <f t="shared" si="18"/>
        <v/>
      </c>
      <c r="E632" s="72" t="str">
        <f t="shared" si="19"/>
        <v/>
      </c>
    </row>
    <row r="633" spans="4:5">
      <c r="D633" s="72" t="str">
        <f t="shared" si="18"/>
        <v/>
      </c>
      <c r="E633" s="72" t="str">
        <f t="shared" si="19"/>
        <v/>
      </c>
    </row>
    <row r="634" spans="4:5">
      <c r="D634" s="72" t="str">
        <f t="shared" si="18"/>
        <v/>
      </c>
      <c r="E634" s="72" t="str">
        <f t="shared" si="19"/>
        <v/>
      </c>
    </row>
    <row r="635" spans="4:5">
      <c r="D635" s="72" t="str">
        <f t="shared" si="18"/>
        <v/>
      </c>
      <c r="E635" s="72" t="str">
        <f t="shared" si="19"/>
        <v/>
      </c>
    </row>
    <row r="636" spans="4:5">
      <c r="D636" s="72" t="str">
        <f t="shared" si="18"/>
        <v/>
      </c>
      <c r="E636" s="72" t="str">
        <f t="shared" si="19"/>
        <v/>
      </c>
    </row>
    <row r="637" spans="4:5">
      <c r="D637" s="72" t="str">
        <f t="shared" si="18"/>
        <v/>
      </c>
      <c r="E637" s="72" t="str">
        <f t="shared" si="19"/>
        <v/>
      </c>
    </row>
    <row r="638" spans="4:5">
      <c r="D638" s="72" t="str">
        <f t="shared" si="18"/>
        <v/>
      </c>
      <c r="E638" s="72" t="str">
        <f t="shared" si="19"/>
        <v/>
      </c>
    </row>
    <row r="639" spans="4:5">
      <c r="D639" s="72" t="str">
        <f t="shared" si="18"/>
        <v/>
      </c>
      <c r="E639" s="72" t="str">
        <f t="shared" si="19"/>
        <v/>
      </c>
    </row>
    <row r="640" spans="4:5">
      <c r="D640" s="72" t="str">
        <f t="shared" si="18"/>
        <v/>
      </c>
      <c r="E640" s="72" t="str">
        <f t="shared" si="19"/>
        <v/>
      </c>
    </row>
    <row r="641" spans="4:5">
      <c r="D641" s="72" t="str">
        <f t="shared" si="18"/>
        <v/>
      </c>
      <c r="E641" s="72" t="str">
        <f t="shared" si="19"/>
        <v/>
      </c>
    </row>
    <row r="642" spans="4:5">
      <c r="D642" s="72" t="str">
        <f t="shared" si="18"/>
        <v/>
      </c>
      <c r="E642" s="72" t="str">
        <f t="shared" si="19"/>
        <v/>
      </c>
    </row>
    <row r="643" spans="4:5">
      <c r="D643" s="72" t="str">
        <f t="shared" si="18"/>
        <v/>
      </c>
      <c r="E643" s="72" t="str">
        <f t="shared" si="19"/>
        <v/>
      </c>
    </row>
    <row r="644" spans="4:5">
      <c r="D644" s="72" t="str">
        <f t="shared" si="18"/>
        <v/>
      </c>
      <c r="E644" s="72" t="str">
        <f t="shared" si="19"/>
        <v/>
      </c>
    </row>
    <row r="645" spans="4:5">
      <c r="D645" s="72" t="str">
        <f t="shared" si="18"/>
        <v/>
      </c>
      <c r="E645" s="72" t="str">
        <f t="shared" si="19"/>
        <v/>
      </c>
    </row>
    <row r="646" spans="4:5">
      <c r="D646" s="72" t="str">
        <f t="shared" si="18"/>
        <v/>
      </c>
      <c r="E646" s="72" t="str">
        <f t="shared" si="19"/>
        <v/>
      </c>
    </row>
    <row r="647" spans="4:5">
      <c r="D647" s="72" t="str">
        <f t="shared" si="18"/>
        <v/>
      </c>
      <c r="E647" s="72" t="str">
        <f t="shared" si="19"/>
        <v/>
      </c>
    </row>
    <row r="648" spans="4:5">
      <c r="D648" s="72" t="str">
        <f t="shared" si="18"/>
        <v/>
      </c>
      <c r="E648" s="72" t="str">
        <f t="shared" si="19"/>
        <v/>
      </c>
    </row>
    <row r="649" spans="4:5">
      <c r="D649" s="72" t="str">
        <f t="shared" si="18"/>
        <v/>
      </c>
      <c r="E649" s="72" t="str">
        <f t="shared" si="19"/>
        <v/>
      </c>
    </row>
    <row r="650" spans="4:5">
      <c r="D650" s="72" t="str">
        <f t="shared" si="18"/>
        <v/>
      </c>
      <c r="E650" s="72" t="str">
        <f t="shared" si="19"/>
        <v/>
      </c>
    </row>
    <row r="651" spans="4:5">
      <c r="D651" s="72" t="str">
        <f t="shared" si="18"/>
        <v/>
      </c>
      <c r="E651" s="72" t="str">
        <f t="shared" si="19"/>
        <v/>
      </c>
    </row>
    <row r="652" spans="4:5">
      <c r="D652" s="72" t="str">
        <f t="shared" si="18"/>
        <v/>
      </c>
      <c r="E652" s="72" t="str">
        <f t="shared" si="19"/>
        <v/>
      </c>
    </row>
    <row r="653" spans="4:5">
      <c r="D653" s="72" t="str">
        <f t="shared" si="18"/>
        <v/>
      </c>
      <c r="E653" s="72" t="str">
        <f t="shared" si="19"/>
        <v/>
      </c>
    </row>
    <row r="654" spans="4:5">
      <c r="D654" s="72" t="str">
        <f t="shared" si="18"/>
        <v/>
      </c>
      <c r="E654" s="72" t="str">
        <f t="shared" si="19"/>
        <v/>
      </c>
    </row>
    <row r="655" spans="4:5">
      <c r="D655" s="72" t="str">
        <f t="shared" si="18"/>
        <v/>
      </c>
      <c r="E655" s="72" t="str">
        <f t="shared" si="19"/>
        <v/>
      </c>
    </row>
    <row r="656" spans="4:5">
      <c r="D656" s="72" t="str">
        <f t="shared" si="18"/>
        <v/>
      </c>
      <c r="E656" s="72" t="str">
        <f t="shared" si="19"/>
        <v/>
      </c>
    </row>
    <row r="657" spans="4:5">
      <c r="D657" s="72" t="str">
        <f t="shared" si="18"/>
        <v/>
      </c>
      <c r="E657" s="72" t="str">
        <f t="shared" si="19"/>
        <v/>
      </c>
    </row>
    <row r="658" spans="4:5">
      <c r="D658" s="72" t="str">
        <f t="shared" si="18"/>
        <v/>
      </c>
      <c r="E658" s="72" t="str">
        <f t="shared" si="19"/>
        <v/>
      </c>
    </row>
    <row r="659" spans="4:5">
      <c r="D659" s="72" t="str">
        <f t="shared" si="18"/>
        <v/>
      </c>
      <c r="E659" s="72" t="str">
        <f t="shared" si="19"/>
        <v/>
      </c>
    </row>
    <row r="660" spans="4:5">
      <c r="D660" s="72" t="str">
        <f t="shared" ref="D660:D723" si="20">IF(B660&gt;$B$4,IF(B660&lt;$B$5,B660,""),"")</f>
        <v/>
      </c>
      <c r="E660" s="72" t="str">
        <f t="shared" ref="E660:E723" si="21">IF(D660="","",C660)</f>
        <v/>
      </c>
    </row>
    <row r="661" spans="4:5">
      <c r="D661" s="72" t="str">
        <f t="shared" si="20"/>
        <v/>
      </c>
      <c r="E661" s="72" t="str">
        <f t="shared" si="21"/>
        <v/>
      </c>
    </row>
    <row r="662" spans="4:5">
      <c r="D662" s="72" t="str">
        <f t="shared" si="20"/>
        <v/>
      </c>
      <c r="E662" s="72" t="str">
        <f t="shared" si="21"/>
        <v/>
      </c>
    </row>
    <row r="663" spans="4:5">
      <c r="D663" s="72" t="str">
        <f t="shared" si="20"/>
        <v/>
      </c>
      <c r="E663" s="72" t="str">
        <f t="shared" si="21"/>
        <v/>
      </c>
    </row>
    <row r="664" spans="4:5">
      <c r="D664" s="72" t="str">
        <f t="shared" si="20"/>
        <v/>
      </c>
      <c r="E664" s="72" t="str">
        <f t="shared" si="21"/>
        <v/>
      </c>
    </row>
    <row r="665" spans="4:5">
      <c r="D665" s="72" t="str">
        <f t="shared" si="20"/>
        <v/>
      </c>
      <c r="E665" s="72" t="str">
        <f t="shared" si="21"/>
        <v/>
      </c>
    </row>
    <row r="666" spans="4:5">
      <c r="D666" s="72" t="str">
        <f t="shared" si="20"/>
        <v/>
      </c>
      <c r="E666" s="72" t="str">
        <f t="shared" si="21"/>
        <v/>
      </c>
    </row>
    <row r="667" spans="4:5">
      <c r="D667" s="72" t="str">
        <f t="shared" si="20"/>
        <v/>
      </c>
      <c r="E667" s="72" t="str">
        <f t="shared" si="21"/>
        <v/>
      </c>
    </row>
    <row r="668" spans="4:5">
      <c r="D668" s="72" t="str">
        <f t="shared" si="20"/>
        <v/>
      </c>
      <c r="E668" s="72" t="str">
        <f t="shared" si="21"/>
        <v/>
      </c>
    </row>
    <row r="669" spans="4:5">
      <c r="D669" s="72" t="str">
        <f t="shared" si="20"/>
        <v/>
      </c>
      <c r="E669" s="72" t="str">
        <f t="shared" si="21"/>
        <v/>
      </c>
    </row>
    <row r="670" spans="4:5">
      <c r="D670" s="72" t="str">
        <f t="shared" si="20"/>
        <v/>
      </c>
      <c r="E670" s="72" t="str">
        <f t="shared" si="21"/>
        <v/>
      </c>
    </row>
    <row r="671" spans="4:5">
      <c r="D671" s="72" t="str">
        <f t="shared" si="20"/>
        <v/>
      </c>
      <c r="E671" s="72" t="str">
        <f t="shared" si="21"/>
        <v/>
      </c>
    </row>
    <row r="672" spans="4:5">
      <c r="D672" s="72" t="str">
        <f t="shared" si="20"/>
        <v/>
      </c>
      <c r="E672" s="72" t="str">
        <f t="shared" si="21"/>
        <v/>
      </c>
    </row>
    <row r="673" spans="4:5">
      <c r="D673" s="72" t="str">
        <f t="shared" si="20"/>
        <v/>
      </c>
      <c r="E673" s="72" t="str">
        <f t="shared" si="21"/>
        <v/>
      </c>
    </row>
    <row r="674" spans="4:5">
      <c r="D674" s="72" t="str">
        <f t="shared" si="20"/>
        <v/>
      </c>
      <c r="E674" s="72" t="str">
        <f t="shared" si="21"/>
        <v/>
      </c>
    </row>
    <row r="675" spans="4:5">
      <c r="D675" s="72" t="str">
        <f t="shared" si="20"/>
        <v/>
      </c>
      <c r="E675" s="72" t="str">
        <f t="shared" si="21"/>
        <v/>
      </c>
    </row>
    <row r="676" spans="4:5">
      <c r="D676" s="72" t="str">
        <f t="shared" si="20"/>
        <v/>
      </c>
      <c r="E676" s="72" t="str">
        <f t="shared" si="21"/>
        <v/>
      </c>
    </row>
    <row r="677" spans="4:5">
      <c r="D677" s="72" t="str">
        <f t="shared" si="20"/>
        <v/>
      </c>
      <c r="E677" s="72" t="str">
        <f t="shared" si="21"/>
        <v/>
      </c>
    </row>
    <row r="678" spans="4:5">
      <c r="D678" s="72" t="str">
        <f t="shared" si="20"/>
        <v/>
      </c>
      <c r="E678" s="72" t="str">
        <f t="shared" si="21"/>
        <v/>
      </c>
    </row>
    <row r="679" spans="4:5">
      <c r="D679" s="72" t="str">
        <f t="shared" si="20"/>
        <v/>
      </c>
      <c r="E679" s="72" t="str">
        <f t="shared" si="21"/>
        <v/>
      </c>
    </row>
    <row r="680" spans="4:5">
      <c r="D680" s="72" t="str">
        <f t="shared" si="20"/>
        <v/>
      </c>
      <c r="E680" s="72" t="str">
        <f t="shared" si="21"/>
        <v/>
      </c>
    </row>
    <row r="681" spans="4:5">
      <c r="D681" s="72" t="str">
        <f t="shared" si="20"/>
        <v/>
      </c>
      <c r="E681" s="72" t="str">
        <f t="shared" si="21"/>
        <v/>
      </c>
    </row>
    <row r="682" spans="4:5">
      <c r="D682" s="72" t="str">
        <f t="shared" si="20"/>
        <v/>
      </c>
      <c r="E682" s="72" t="str">
        <f t="shared" si="21"/>
        <v/>
      </c>
    </row>
    <row r="683" spans="4:5">
      <c r="D683" s="72" t="str">
        <f t="shared" si="20"/>
        <v/>
      </c>
      <c r="E683" s="72" t="str">
        <f t="shared" si="21"/>
        <v/>
      </c>
    </row>
    <row r="684" spans="4:5">
      <c r="D684" s="72" t="str">
        <f t="shared" si="20"/>
        <v/>
      </c>
      <c r="E684" s="72" t="str">
        <f t="shared" si="21"/>
        <v/>
      </c>
    </row>
    <row r="685" spans="4:5">
      <c r="D685" s="72" t="str">
        <f t="shared" si="20"/>
        <v/>
      </c>
      <c r="E685" s="72" t="str">
        <f t="shared" si="21"/>
        <v/>
      </c>
    </row>
    <row r="686" spans="4:5">
      <c r="D686" s="72" t="str">
        <f t="shared" si="20"/>
        <v/>
      </c>
      <c r="E686" s="72" t="str">
        <f t="shared" si="21"/>
        <v/>
      </c>
    </row>
    <row r="687" spans="4:5">
      <c r="D687" s="72" t="str">
        <f t="shared" si="20"/>
        <v/>
      </c>
      <c r="E687" s="72" t="str">
        <f t="shared" si="21"/>
        <v/>
      </c>
    </row>
    <row r="688" spans="4:5">
      <c r="D688" s="72" t="str">
        <f t="shared" si="20"/>
        <v/>
      </c>
      <c r="E688" s="72" t="str">
        <f t="shared" si="21"/>
        <v/>
      </c>
    </row>
    <row r="689" spans="4:5">
      <c r="D689" s="72" t="str">
        <f t="shared" si="20"/>
        <v/>
      </c>
      <c r="E689" s="72" t="str">
        <f t="shared" si="21"/>
        <v/>
      </c>
    </row>
    <row r="690" spans="4:5">
      <c r="D690" s="72" t="str">
        <f t="shared" si="20"/>
        <v/>
      </c>
      <c r="E690" s="72" t="str">
        <f t="shared" si="21"/>
        <v/>
      </c>
    </row>
    <row r="691" spans="4:5">
      <c r="D691" s="72" t="str">
        <f t="shared" si="20"/>
        <v/>
      </c>
      <c r="E691" s="72" t="str">
        <f t="shared" si="21"/>
        <v/>
      </c>
    </row>
    <row r="692" spans="4:5">
      <c r="D692" s="72" t="str">
        <f t="shared" si="20"/>
        <v/>
      </c>
      <c r="E692" s="72" t="str">
        <f t="shared" si="21"/>
        <v/>
      </c>
    </row>
    <row r="693" spans="4:5">
      <c r="D693" s="72" t="str">
        <f t="shared" si="20"/>
        <v/>
      </c>
      <c r="E693" s="72" t="str">
        <f t="shared" si="21"/>
        <v/>
      </c>
    </row>
    <row r="694" spans="4:5">
      <c r="D694" s="72" t="str">
        <f t="shared" si="20"/>
        <v/>
      </c>
      <c r="E694" s="72" t="str">
        <f t="shared" si="21"/>
        <v/>
      </c>
    </row>
    <row r="695" spans="4:5">
      <c r="D695" s="72" t="str">
        <f t="shared" si="20"/>
        <v/>
      </c>
      <c r="E695" s="72" t="str">
        <f t="shared" si="21"/>
        <v/>
      </c>
    </row>
    <row r="696" spans="4:5">
      <c r="D696" s="72" t="str">
        <f t="shared" si="20"/>
        <v/>
      </c>
      <c r="E696" s="72" t="str">
        <f t="shared" si="21"/>
        <v/>
      </c>
    </row>
    <row r="697" spans="4:5">
      <c r="D697" s="72" t="str">
        <f t="shared" si="20"/>
        <v/>
      </c>
      <c r="E697" s="72" t="str">
        <f t="shared" si="21"/>
        <v/>
      </c>
    </row>
    <row r="698" spans="4:5">
      <c r="D698" s="72" t="str">
        <f t="shared" si="20"/>
        <v/>
      </c>
      <c r="E698" s="72" t="str">
        <f t="shared" si="21"/>
        <v/>
      </c>
    </row>
    <row r="699" spans="4:5">
      <c r="D699" s="72" t="str">
        <f t="shared" si="20"/>
        <v/>
      </c>
      <c r="E699" s="72" t="str">
        <f t="shared" si="21"/>
        <v/>
      </c>
    </row>
    <row r="700" spans="4:5">
      <c r="D700" s="72" t="str">
        <f t="shared" si="20"/>
        <v/>
      </c>
      <c r="E700" s="72" t="str">
        <f t="shared" si="21"/>
        <v/>
      </c>
    </row>
    <row r="701" spans="4:5">
      <c r="D701" s="72" t="str">
        <f t="shared" si="20"/>
        <v/>
      </c>
      <c r="E701" s="72" t="str">
        <f t="shared" si="21"/>
        <v/>
      </c>
    </row>
    <row r="702" spans="4:5">
      <c r="D702" s="72" t="str">
        <f t="shared" si="20"/>
        <v/>
      </c>
      <c r="E702" s="72" t="str">
        <f t="shared" si="21"/>
        <v/>
      </c>
    </row>
    <row r="703" spans="4:5">
      <c r="D703" s="72" t="str">
        <f t="shared" si="20"/>
        <v/>
      </c>
      <c r="E703" s="72" t="str">
        <f t="shared" si="21"/>
        <v/>
      </c>
    </row>
    <row r="704" spans="4:5">
      <c r="D704" s="72" t="str">
        <f t="shared" si="20"/>
        <v/>
      </c>
      <c r="E704" s="72" t="str">
        <f t="shared" si="21"/>
        <v/>
      </c>
    </row>
    <row r="705" spans="4:5">
      <c r="D705" s="72" t="str">
        <f t="shared" si="20"/>
        <v/>
      </c>
      <c r="E705" s="72" t="str">
        <f t="shared" si="21"/>
        <v/>
      </c>
    </row>
    <row r="706" spans="4:5">
      <c r="D706" s="72" t="str">
        <f t="shared" si="20"/>
        <v/>
      </c>
      <c r="E706" s="72" t="str">
        <f t="shared" si="21"/>
        <v/>
      </c>
    </row>
    <row r="707" spans="4:5">
      <c r="D707" s="72" t="str">
        <f t="shared" si="20"/>
        <v/>
      </c>
      <c r="E707" s="72" t="str">
        <f t="shared" si="21"/>
        <v/>
      </c>
    </row>
    <row r="708" spans="4:5">
      <c r="D708" s="72" t="str">
        <f t="shared" si="20"/>
        <v/>
      </c>
      <c r="E708" s="72" t="str">
        <f t="shared" si="21"/>
        <v/>
      </c>
    </row>
    <row r="709" spans="4:5">
      <c r="D709" s="72" t="str">
        <f t="shared" si="20"/>
        <v/>
      </c>
      <c r="E709" s="72" t="str">
        <f t="shared" si="21"/>
        <v/>
      </c>
    </row>
    <row r="710" spans="4:5">
      <c r="D710" s="72" t="str">
        <f t="shared" si="20"/>
        <v/>
      </c>
      <c r="E710" s="72" t="str">
        <f t="shared" si="21"/>
        <v/>
      </c>
    </row>
    <row r="711" spans="4:5">
      <c r="D711" s="72" t="str">
        <f t="shared" si="20"/>
        <v/>
      </c>
      <c r="E711" s="72" t="str">
        <f t="shared" si="21"/>
        <v/>
      </c>
    </row>
    <row r="712" spans="4:5">
      <c r="D712" s="72" t="str">
        <f t="shared" si="20"/>
        <v/>
      </c>
      <c r="E712" s="72" t="str">
        <f t="shared" si="21"/>
        <v/>
      </c>
    </row>
    <row r="713" spans="4:5">
      <c r="D713" s="72" t="str">
        <f t="shared" si="20"/>
        <v/>
      </c>
      <c r="E713" s="72" t="str">
        <f t="shared" si="21"/>
        <v/>
      </c>
    </row>
    <row r="714" spans="4:5">
      <c r="D714" s="72" t="str">
        <f t="shared" si="20"/>
        <v/>
      </c>
      <c r="E714" s="72" t="str">
        <f t="shared" si="21"/>
        <v/>
      </c>
    </row>
    <row r="715" spans="4:5">
      <c r="D715" s="72" t="str">
        <f t="shared" si="20"/>
        <v/>
      </c>
      <c r="E715" s="72" t="str">
        <f t="shared" si="21"/>
        <v/>
      </c>
    </row>
    <row r="716" spans="4:5">
      <c r="D716" s="72" t="str">
        <f t="shared" si="20"/>
        <v/>
      </c>
      <c r="E716" s="72" t="str">
        <f t="shared" si="21"/>
        <v/>
      </c>
    </row>
    <row r="717" spans="4:5">
      <c r="D717" s="72" t="str">
        <f t="shared" si="20"/>
        <v/>
      </c>
      <c r="E717" s="72" t="str">
        <f t="shared" si="21"/>
        <v/>
      </c>
    </row>
    <row r="718" spans="4:5">
      <c r="D718" s="72" t="str">
        <f t="shared" si="20"/>
        <v/>
      </c>
      <c r="E718" s="72" t="str">
        <f t="shared" si="21"/>
        <v/>
      </c>
    </row>
    <row r="719" spans="4:5">
      <c r="D719" s="72" t="str">
        <f t="shared" si="20"/>
        <v/>
      </c>
      <c r="E719" s="72" t="str">
        <f t="shared" si="21"/>
        <v/>
      </c>
    </row>
    <row r="720" spans="4:5">
      <c r="D720" s="72" t="str">
        <f t="shared" si="20"/>
        <v/>
      </c>
      <c r="E720" s="72" t="str">
        <f t="shared" si="21"/>
        <v/>
      </c>
    </row>
    <row r="721" spans="4:5">
      <c r="D721" s="72" t="str">
        <f t="shared" si="20"/>
        <v/>
      </c>
      <c r="E721" s="72" t="str">
        <f t="shared" si="21"/>
        <v/>
      </c>
    </row>
    <row r="722" spans="4:5">
      <c r="D722" s="72" t="str">
        <f t="shared" si="20"/>
        <v/>
      </c>
      <c r="E722" s="72" t="str">
        <f t="shared" si="21"/>
        <v/>
      </c>
    </row>
    <row r="723" spans="4:5">
      <c r="D723" s="72" t="str">
        <f t="shared" si="20"/>
        <v/>
      </c>
      <c r="E723" s="72" t="str">
        <f t="shared" si="21"/>
        <v/>
      </c>
    </row>
    <row r="724" spans="4:5">
      <c r="D724" s="72" t="str">
        <f t="shared" ref="D724:D787" si="22">IF(B724&gt;$B$4,IF(B724&lt;$B$5,B724,""),"")</f>
        <v/>
      </c>
      <c r="E724" s="72" t="str">
        <f t="shared" ref="E724:E787" si="23">IF(D724="","",C724)</f>
        <v/>
      </c>
    </row>
    <row r="725" spans="4:5">
      <c r="D725" s="72" t="str">
        <f t="shared" si="22"/>
        <v/>
      </c>
      <c r="E725" s="72" t="str">
        <f t="shared" si="23"/>
        <v/>
      </c>
    </row>
    <row r="726" spans="4:5">
      <c r="D726" s="72" t="str">
        <f t="shared" si="22"/>
        <v/>
      </c>
      <c r="E726" s="72" t="str">
        <f t="shared" si="23"/>
        <v/>
      </c>
    </row>
    <row r="727" spans="4:5">
      <c r="D727" s="72" t="str">
        <f t="shared" si="22"/>
        <v/>
      </c>
      <c r="E727" s="72" t="str">
        <f t="shared" si="23"/>
        <v/>
      </c>
    </row>
    <row r="728" spans="4:5">
      <c r="D728" s="72" t="str">
        <f t="shared" si="22"/>
        <v/>
      </c>
      <c r="E728" s="72" t="str">
        <f t="shared" si="23"/>
        <v/>
      </c>
    </row>
    <row r="729" spans="4:5">
      <c r="D729" s="72" t="str">
        <f t="shared" si="22"/>
        <v/>
      </c>
      <c r="E729" s="72" t="str">
        <f t="shared" si="23"/>
        <v/>
      </c>
    </row>
    <row r="730" spans="4:5">
      <c r="D730" s="72" t="str">
        <f t="shared" si="22"/>
        <v/>
      </c>
      <c r="E730" s="72" t="str">
        <f t="shared" si="23"/>
        <v/>
      </c>
    </row>
    <row r="731" spans="4:5">
      <c r="D731" s="72" t="str">
        <f t="shared" si="22"/>
        <v/>
      </c>
      <c r="E731" s="72" t="str">
        <f t="shared" si="23"/>
        <v/>
      </c>
    </row>
    <row r="732" spans="4:5">
      <c r="D732" s="72" t="str">
        <f t="shared" si="22"/>
        <v/>
      </c>
      <c r="E732" s="72" t="str">
        <f t="shared" si="23"/>
        <v/>
      </c>
    </row>
    <row r="733" spans="4:5">
      <c r="D733" s="72" t="str">
        <f t="shared" si="22"/>
        <v/>
      </c>
      <c r="E733" s="72" t="str">
        <f t="shared" si="23"/>
        <v/>
      </c>
    </row>
    <row r="734" spans="4:5">
      <c r="D734" s="72" t="str">
        <f t="shared" si="22"/>
        <v/>
      </c>
      <c r="E734" s="72" t="str">
        <f t="shared" si="23"/>
        <v/>
      </c>
    </row>
    <row r="735" spans="4:5">
      <c r="D735" s="72" t="str">
        <f t="shared" si="22"/>
        <v/>
      </c>
      <c r="E735" s="72" t="str">
        <f t="shared" si="23"/>
        <v/>
      </c>
    </row>
    <row r="736" spans="4:5">
      <c r="D736" s="72" t="str">
        <f t="shared" si="22"/>
        <v/>
      </c>
      <c r="E736" s="72" t="str">
        <f t="shared" si="23"/>
        <v/>
      </c>
    </row>
    <row r="737" spans="4:5">
      <c r="D737" s="72" t="str">
        <f t="shared" si="22"/>
        <v/>
      </c>
      <c r="E737" s="72" t="str">
        <f t="shared" si="23"/>
        <v/>
      </c>
    </row>
    <row r="738" spans="4:5">
      <c r="D738" s="72" t="str">
        <f t="shared" si="22"/>
        <v/>
      </c>
      <c r="E738" s="72" t="str">
        <f t="shared" si="23"/>
        <v/>
      </c>
    </row>
    <row r="739" spans="4:5">
      <c r="D739" s="72" t="str">
        <f t="shared" si="22"/>
        <v/>
      </c>
      <c r="E739" s="72" t="str">
        <f t="shared" si="23"/>
        <v/>
      </c>
    </row>
    <row r="740" spans="4:5">
      <c r="D740" s="72" t="str">
        <f t="shared" si="22"/>
        <v/>
      </c>
      <c r="E740" s="72" t="str">
        <f t="shared" si="23"/>
        <v/>
      </c>
    </row>
    <row r="741" spans="4:5">
      <c r="D741" s="72" t="str">
        <f t="shared" si="22"/>
        <v/>
      </c>
      <c r="E741" s="72" t="str">
        <f t="shared" si="23"/>
        <v/>
      </c>
    </row>
    <row r="742" spans="4:5">
      <c r="D742" s="72" t="str">
        <f t="shared" si="22"/>
        <v/>
      </c>
      <c r="E742" s="72" t="str">
        <f t="shared" si="23"/>
        <v/>
      </c>
    </row>
    <row r="743" spans="4:5">
      <c r="D743" s="72" t="str">
        <f t="shared" si="22"/>
        <v/>
      </c>
      <c r="E743" s="72" t="str">
        <f t="shared" si="23"/>
        <v/>
      </c>
    </row>
    <row r="744" spans="4:5">
      <c r="D744" s="72" t="str">
        <f t="shared" si="22"/>
        <v/>
      </c>
      <c r="E744" s="72" t="str">
        <f t="shared" si="23"/>
        <v/>
      </c>
    </row>
    <row r="745" spans="4:5">
      <c r="D745" s="72" t="str">
        <f t="shared" si="22"/>
        <v/>
      </c>
      <c r="E745" s="72" t="str">
        <f t="shared" si="23"/>
        <v/>
      </c>
    </row>
    <row r="746" spans="4:5">
      <c r="D746" s="72" t="str">
        <f t="shared" si="22"/>
        <v/>
      </c>
      <c r="E746" s="72" t="str">
        <f t="shared" si="23"/>
        <v/>
      </c>
    </row>
    <row r="747" spans="4:5">
      <c r="D747" s="72" t="str">
        <f t="shared" si="22"/>
        <v/>
      </c>
      <c r="E747" s="72" t="str">
        <f t="shared" si="23"/>
        <v/>
      </c>
    </row>
    <row r="748" spans="4:5">
      <c r="D748" s="72" t="str">
        <f t="shared" si="22"/>
        <v/>
      </c>
      <c r="E748" s="72" t="str">
        <f t="shared" si="23"/>
        <v/>
      </c>
    </row>
    <row r="749" spans="4:5">
      <c r="D749" s="72" t="str">
        <f t="shared" si="22"/>
        <v/>
      </c>
      <c r="E749" s="72" t="str">
        <f t="shared" si="23"/>
        <v/>
      </c>
    </row>
    <row r="750" spans="4:5">
      <c r="D750" s="72" t="str">
        <f t="shared" si="22"/>
        <v/>
      </c>
      <c r="E750" s="72" t="str">
        <f t="shared" si="23"/>
        <v/>
      </c>
    </row>
    <row r="751" spans="4:5">
      <c r="D751" s="72" t="str">
        <f t="shared" si="22"/>
        <v/>
      </c>
      <c r="E751" s="72" t="str">
        <f t="shared" si="23"/>
        <v/>
      </c>
    </row>
    <row r="752" spans="4:5">
      <c r="D752" s="72" t="str">
        <f t="shared" si="22"/>
        <v/>
      </c>
      <c r="E752" s="72" t="str">
        <f t="shared" si="23"/>
        <v/>
      </c>
    </row>
    <row r="753" spans="4:5">
      <c r="D753" s="72" t="str">
        <f t="shared" si="22"/>
        <v/>
      </c>
      <c r="E753" s="72" t="str">
        <f t="shared" si="23"/>
        <v/>
      </c>
    </row>
    <row r="754" spans="4:5">
      <c r="D754" s="72" t="str">
        <f t="shared" si="22"/>
        <v/>
      </c>
      <c r="E754" s="72" t="str">
        <f t="shared" si="23"/>
        <v/>
      </c>
    </row>
    <row r="755" spans="4:5">
      <c r="D755" s="72" t="str">
        <f t="shared" si="22"/>
        <v/>
      </c>
      <c r="E755" s="72" t="str">
        <f t="shared" si="23"/>
        <v/>
      </c>
    </row>
    <row r="756" spans="4:5">
      <c r="D756" s="72" t="str">
        <f t="shared" si="22"/>
        <v/>
      </c>
      <c r="E756" s="72" t="str">
        <f t="shared" si="23"/>
        <v/>
      </c>
    </row>
    <row r="757" spans="4:5">
      <c r="D757" s="72" t="str">
        <f t="shared" si="22"/>
        <v/>
      </c>
      <c r="E757" s="72" t="str">
        <f t="shared" si="23"/>
        <v/>
      </c>
    </row>
    <row r="758" spans="4:5">
      <c r="D758" s="72" t="str">
        <f t="shared" si="22"/>
        <v/>
      </c>
      <c r="E758" s="72" t="str">
        <f t="shared" si="23"/>
        <v/>
      </c>
    </row>
    <row r="759" spans="4:5">
      <c r="D759" s="72" t="str">
        <f t="shared" si="22"/>
        <v/>
      </c>
      <c r="E759" s="72" t="str">
        <f t="shared" si="23"/>
        <v/>
      </c>
    </row>
    <row r="760" spans="4:5">
      <c r="D760" s="72" t="str">
        <f t="shared" si="22"/>
        <v/>
      </c>
      <c r="E760" s="72" t="str">
        <f t="shared" si="23"/>
        <v/>
      </c>
    </row>
    <row r="761" spans="4:5">
      <c r="D761" s="72" t="str">
        <f t="shared" si="22"/>
        <v/>
      </c>
      <c r="E761" s="72" t="str">
        <f t="shared" si="23"/>
        <v/>
      </c>
    </row>
    <row r="762" spans="4:5">
      <c r="D762" s="72" t="str">
        <f t="shared" si="22"/>
        <v/>
      </c>
      <c r="E762" s="72" t="str">
        <f t="shared" si="23"/>
        <v/>
      </c>
    </row>
    <row r="763" spans="4:5">
      <c r="D763" s="72" t="str">
        <f t="shared" si="22"/>
        <v/>
      </c>
      <c r="E763" s="72" t="str">
        <f t="shared" si="23"/>
        <v/>
      </c>
    </row>
    <row r="764" spans="4:5">
      <c r="D764" s="72" t="str">
        <f t="shared" si="22"/>
        <v/>
      </c>
      <c r="E764" s="72" t="str">
        <f t="shared" si="23"/>
        <v/>
      </c>
    </row>
    <row r="765" spans="4:5">
      <c r="D765" s="72" t="str">
        <f t="shared" si="22"/>
        <v/>
      </c>
      <c r="E765" s="72" t="str">
        <f t="shared" si="23"/>
        <v/>
      </c>
    </row>
    <row r="766" spans="4:5">
      <c r="D766" s="72" t="str">
        <f t="shared" si="22"/>
        <v/>
      </c>
      <c r="E766" s="72" t="str">
        <f t="shared" si="23"/>
        <v/>
      </c>
    </row>
    <row r="767" spans="4:5">
      <c r="D767" s="72" t="str">
        <f t="shared" si="22"/>
        <v/>
      </c>
      <c r="E767" s="72" t="str">
        <f t="shared" si="23"/>
        <v/>
      </c>
    </row>
    <row r="768" spans="4:5">
      <c r="D768" s="72" t="str">
        <f t="shared" si="22"/>
        <v/>
      </c>
      <c r="E768" s="72" t="str">
        <f t="shared" si="23"/>
        <v/>
      </c>
    </row>
    <row r="769" spans="4:5">
      <c r="D769" s="72" t="str">
        <f t="shared" si="22"/>
        <v/>
      </c>
      <c r="E769" s="72" t="str">
        <f t="shared" si="23"/>
        <v/>
      </c>
    </row>
    <row r="770" spans="4:5">
      <c r="D770" s="72" t="str">
        <f t="shared" si="22"/>
        <v/>
      </c>
      <c r="E770" s="72" t="str">
        <f t="shared" si="23"/>
        <v/>
      </c>
    </row>
    <row r="771" spans="4:5">
      <c r="D771" s="72" t="str">
        <f t="shared" si="22"/>
        <v/>
      </c>
      <c r="E771" s="72" t="str">
        <f t="shared" si="23"/>
        <v/>
      </c>
    </row>
    <row r="772" spans="4:5">
      <c r="D772" s="72" t="str">
        <f t="shared" si="22"/>
        <v/>
      </c>
      <c r="E772" s="72" t="str">
        <f t="shared" si="23"/>
        <v/>
      </c>
    </row>
    <row r="773" spans="4:5">
      <c r="D773" s="72" t="str">
        <f t="shared" si="22"/>
        <v/>
      </c>
      <c r="E773" s="72" t="str">
        <f t="shared" si="23"/>
        <v/>
      </c>
    </row>
    <row r="774" spans="4:5">
      <c r="D774" s="72" t="str">
        <f t="shared" si="22"/>
        <v/>
      </c>
      <c r="E774" s="72" t="str">
        <f t="shared" si="23"/>
        <v/>
      </c>
    </row>
    <row r="775" spans="4:5">
      <c r="D775" s="72" t="str">
        <f t="shared" si="22"/>
        <v/>
      </c>
      <c r="E775" s="72" t="str">
        <f t="shared" si="23"/>
        <v/>
      </c>
    </row>
    <row r="776" spans="4:5">
      <c r="D776" s="72" t="str">
        <f t="shared" si="22"/>
        <v/>
      </c>
      <c r="E776" s="72" t="str">
        <f t="shared" si="23"/>
        <v/>
      </c>
    </row>
    <row r="777" spans="4:5">
      <c r="D777" s="72" t="str">
        <f t="shared" si="22"/>
        <v/>
      </c>
      <c r="E777" s="72" t="str">
        <f t="shared" si="23"/>
        <v/>
      </c>
    </row>
    <row r="778" spans="4:5">
      <c r="D778" s="72" t="str">
        <f t="shared" si="22"/>
        <v/>
      </c>
      <c r="E778" s="72" t="str">
        <f t="shared" si="23"/>
        <v/>
      </c>
    </row>
    <row r="779" spans="4:5">
      <c r="D779" s="72" t="str">
        <f t="shared" si="22"/>
        <v/>
      </c>
      <c r="E779" s="72" t="str">
        <f t="shared" si="23"/>
        <v/>
      </c>
    </row>
    <row r="780" spans="4:5">
      <c r="D780" s="72" t="str">
        <f t="shared" si="22"/>
        <v/>
      </c>
      <c r="E780" s="72" t="str">
        <f t="shared" si="23"/>
        <v/>
      </c>
    </row>
    <row r="781" spans="4:5">
      <c r="D781" s="72" t="str">
        <f t="shared" si="22"/>
        <v/>
      </c>
      <c r="E781" s="72" t="str">
        <f t="shared" si="23"/>
        <v/>
      </c>
    </row>
    <row r="782" spans="4:5">
      <c r="D782" s="72" t="str">
        <f t="shared" si="22"/>
        <v/>
      </c>
      <c r="E782" s="72" t="str">
        <f t="shared" si="23"/>
        <v/>
      </c>
    </row>
    <row r="783" spans="4:5">
      <c r="D783" s="72" t="str">
        <f t="shared" si="22"/>
        <v/>
      </c>
      <c r="E783" s="72" t="str">
        <f t="shared" si="23"/>
        <v/>
      </c>
    </row>
    <row r="784" spans="4:5">
      <c r="D784" s="72" t="str">
        <f t="shared" si="22"/>
        <v/>
      </c>
      <c r="E784" s="72" t="str">
        <f t="shared" si="23"/>
        <v/>
      </c>
    </row>
    <row r="785" spans="4:5">
      <c r="D785" s="72" t="str">
        <f t="shared" si="22"/>
        <v/>
      </c>
      <c r="E785" s="72" t="str">
        <f t="shared" si="23"/>
        <v/>
      </c>
    </row>
    <row r="786" spans="4:5">
      <c r="D786" s="72" t="str">
        <f t="shared" si="22"/>
        <v/>
      </c>
      <c r="E786" s="72" t="str">
        <f t="shared" si="23"/>
        <v/>
      </c>
    </row>
    <row r="787" spans="4:5">
      <c r="D787" s="72" t="str">
        <f t="shared" si="22"/>
        <v/>
      </c>
      <c r="E787" s="72" t="str">
        <f t="shared" si="23"/>
        <v/>
      </c>
    </row>
    <row r="788" spans="4:5">
      <c r="D788" s="72" t="str">
        <f t="shared" ref="D788:D817" si="24">IF(B788&gt;$B$4,IF(B788&lt;$B$5,B788,""),"")</f>
        <v/>
      </c>
      <c r="E788" s="72" t="str">
        <f t="shared" ref="E788:E817" si="25">IF(D788="","",C788)</f>
        <v/>
      </c>
    </row>
    <row r="789" spans="4:5">
      <c r="D789" s="72" t="str">
        <f t="shared" si="24"/>
        <v/>
      </c>
      <c r="E789" s="72" t="str">
        <f t="shared" si="25"/>
        <v/>
      </c>
    </row>
    <row r="790" spans="4:5">
      <c r="D790" s="72" t="str">
        <f t="shared" si="24"/>
        <v/>
      </c>
      <c r="E790" s="72" t="str">
        <f t="shared" si="25"/>
        <v/>
      </c>
    </row>
    <row r="791" spans="4:5">
      <c r="D791" s="72" t="str">
        <f t="shared" si="24"/>
        <v/>
      </c>
      <c r="E791" s="72" t="str">
        <f t="shared" si="25"/>
        <v/>
      </c>
    </row>
    <row r="792" spans="4:5">
      <c r="D792" s="72" t="str">
        <f t="shared" si="24"/>
        <v/>
      </c>
      <c r="E792" s="72" t="str">
        <f t="shared" si="25"/>
        <v/>
      </c>
    </row>
    <row r="793" spans="4:5">
      <c r="D793" s="72" t="str">
        <f t="shared" si="24"/>
        <v/>
      </c>
      <c r="E793" s="72" t="str">
        <f t="shared" si="25"/>
        <v/>
      </c>
    </row>
    <row r="794" spans="4:5">
      <c r="D794" s="72" t="str">
        <f t="shared" si="24"/>
        <v/>
      </c>
      <c r="E794" s="72" t="str">
        <f t="shared" si="25"/>
        <v/>
      </c>
    </row>
    <row r="795" spans="4:5">
      <c r="D795" s="72" t="str">
        <f t="shared" si="24"/>
        <v/>
      </c>
      <c r="E795" s="72" t="str">
        <f t="shared" si="25"/>
        <v/>
      </c>
    </row>
    <row r="796" spans="4:5">
      <c r="D796" s="72" t="str">
        <f t="shared" si="24"/>
        <v/>
      </c>
      <c r="E796" s="72" t="str">
        <f t="shared" si="25"/>
        <v/>
      </c>
    </row>
    <row r="797" spans="4:5">
      <c r="D797" s="72" t="str">
        <f t="shared" si="24"/>
        <v/>
      </c>
      <c r="E797" s="72" t="str">
        <f t="shared" si="25"/>
        <v/>
      </c>
    </row>
    <row r="798" spans="4:5">
      <c r="D798" s="72" t="str">
        <f t="shared" si="24"/>
        <v/>
      </c>
      <c r="E798" s="72" t="str">
        <f t="shared" si="25"/>
        <v/>
      </c>
    </row>
    <row r="799" spans="4:5">
      <c r="D799" s="72" t="str">
        <f t="shared" si="24"/>
        <v/>
      </c>
      <c r="E799" s="72" t="str">
        <f t="shared" si="25"/>
        <v/>
      </c>
    </row>
    <row r="800" spans="4:5">
      <c r="D800" s="72" t="str">
        <f t="shared" si="24"/>
        <v/>
      </c>
      <c r="E800" s="72" t="str">
        <f t="shared" si="25"/>
        <v/>
      </c>
    </row>
    <row r="801" spans="4:5">
      <c r="D801" s="72" t="str">
        <f t="shared" si="24"/>
        <v/>
      </c>
      <c r="E801" s="72" t="str">
        <f t="shared" si="25"/>
        <v/>
      </c>
    </row>
    <row r="802" spans="4:5">
      <c r="D802" s="72" t="str">
        <f t="shared" si="24"/>
        <v/>
      </c>
      <c r="E802" s="72" t="str">
        <f t="shared" si="25"/>
        <v/>
      </c>
    </row>
    <row r="803" spans="4:5">
      <c r="D803" s="72" t="str">
        <f t="shared" si="24"/>
        <v/>
      </c>
      <c r="E803" s="72" t="str">
        <f t="shared" si="25"/>
        <v/>
      </c>
    </row>
    <row r="804" spans="4:5">
      <c r="D804" s="72" t="str">
        <f t="shared" si="24"/>
        <v/>
      </c>
      <c r="E804" s="72" t="str">
        <f t="shared" si="25"/>
        <v/>
      </c>
    </row>
    <row r="805" spans="4:5">
      <c r="D805" s="72" t="str">
        <f t="shared" si="24"/>
        <v/>
      </c>
      <c r="E805" s="72" t="str">
        <f t="shared" si="25"/>
        <v/>
      </c>
    </row>
    <row r="806" spans="4:5">
      <c r="D806" s="72" t="str">
        <f t="shared" si="24"/>
        <v/>
      </c>
      <c r="E806" s="72" t="str">
        <f t="shared" si="25"/>
        <v/>
      </c>
    </row>
    <row r="807" spans="4:5">
      <c r="D807" s="72" t="str">
        <f t="shared" si="24"/>
        <v/>
      </c>
      <c r="E807" s="72" t="str">
        <f t="shared" si="25"/>
        <v/>
      </c>
    </row>
    <row r="808" spans="4:5">
      <c r="D808" s="72" t="str">
        <f t="shared" si="24"/>
        <v/>
      </c>
      <c r="E808" s="72" t="str">
        <f t="shared" si="25"/>
        <v/>
      </c>
    </row>
    <row r="809" spans="4:5">
      <c r="D809" s="72" t="str">
        <f t="shared" si="24"/>
        <v/>
      </c>
      <c r="E809" s="72" t="str">
        <f t="shared" si="25"/>
        <v/>
      </c>
    </row>
    <row r="810" spans="4:5">
      <c r="D810" s="72" t="str">
        <f t="shared" si="24"/>
        <v/>
      </c>
      <c r="E810" s="72" t="str">
        <f t="shared" si="25"/>
        <v/>
      </c>
    </row>
    <row r="811" spans="4:5">
      <c r="D811" s="72" t="str">
        <f t="shared" si="24"/>
        <v/>
      </c>
      <c r="E811" s="72" t="str">
        <f t="shared" si="25"/>
        <v/>
      </c>
    </row>
    <row r="812" spans="4:5">
      <c r="D812" s="72" t="str">
        <f t="shared" si="24"/>
        <v/>
      </c>
      <c r="E812" s="72" t="str">
        <f t="shared" si="25"/>
        <v/>
      </c>
    </row>
    <row r="813" spans="4:5">
      <c r="D813" s="72" t="str">
        <f t="shared" si="24"/>
        <v/>
      </c>
      <c r="E813" s="72" t="str">
        <f t="shared" si="25"/>
        <v/>
      </c>
    </row>
    <row r="814" spans="4:5">
      <c r="D814" s="72" t="str">
        <f t="shared" si="24"/>
        <v/>
      </c>
      <c r="E814" s="72" t="str">
        <f t="shared" si="25"/>
        <v/>
      </c>
    </row>
    <row r="815" spans="4:5">
      <c r="D815" s="72" t="str">
        <f t="shared" si="24"/>
        <v/>
      </c>
      <c r="E815" s="72" t="str">
        <f t="shared" si="25"/>
        <v/>
      </c>
    </row>
    <row r="816" spans="4:5">
      <c r="D816" s="72" t="str">
        <f t="shared" si="24"/>
        <v/>
      </c>
      <c r="E816" s="72" t="str">
        <f t="shared" si="25"/>
        <v/>
      </c>
    </row>
    <row r="817" spans="4:5">
      <c r="D817" s="72" t="str">
        <f t="shared" si="24"/>
        <v/>
      </c>
      <c r="E817" s="72" t="str">
        <f t="shared" si="25"/>
        <v/>
      </c>
    </row>
  </sheetData>
  <mergeCells count="1">
    <mergeCell ref="L14:M14"/>
  </mergeCells>
  <dataValidations disablePrompts="1" count="1">
    <dataValidation type="list" allowBlank="1" showInputMessage="1" showErrorMessage="1" sqref="E10">
      <formula1>"0,0.45,0.5"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excav">
                <anchor moveWithCells="1" sizeWithCells="1">
                  <from>
                    <xdr:col>3</xdr:col>
                    <xdr:colOff>381000</xdr:colOff>
                    <xdr:row>5</xdr:row>
                    <xdr:rowOff>38100</xdr:rowOff>
                  </from>
                  <to>
                    <xdr:col>5</xdr:col>
                    <xdr:colOff>428625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pipeAct">
                <anchor moveWithCells="1" sizeWithCells="1">
                  <from>
                    <xdr:col>12</xdr:col>
                    <xdr:colOff>47625</xdr:colOff>
                    <xdr:row>3</xdr:row>
                    <xdr:rowOff>66675</xdr:rowOff>
                  </from>
                  <to>
                    <xdr:col>13</xdr:col>
                    <xdr:colOff>561975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slabAct">
                <anchor moveWithCells="1" sizeWithCells="1">
                  <from>
                    <xdr:col>12</xdr:col>
                    <xdr:colOff>47625</xdr:colOff>
                    <xdr:row>4</xdr:row>
                    <xdr:rowOff>142875</xdr:rowOff>
                  </from>
                  <to>
                    <xdr:col>13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boxAct">
                <anchor moveWithCells="1" sizeWithCells="1">
                  <from>
                    <xdr:col>12</xdr:col>
                    <xdr:colOff>47625</xdr:colOff>
                    <xdr:row>6</xdr:row>
                    <xdr:rowOff>47625</xdr:rowOff>
                  </from>
                  <to>
                    <xdr:col>13</xdr:col>
                    <xdr:colOff>561975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rwAct">
                <anchor moveWithCells="1" sizeWithCells="1">
                  <from>
                    <xdr:col>12</xdr:col>
                    <xdr:colOff>47625</xdr:colOff>
                    <xdr:row>7</xdr:row>
                    <xdr:rowOff>171450</xdr:rowOff>
                  </from>
                  <to>
                    <xdr:col>13</xdr:col>
                    <xdr:colOff>561975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>
                <anchor moveWithCells="1" sizeWithCells="1">
                  <from>
                    <xdr:col>12</xdr:col>
                    <xdr:colOff>47625</xdr:colOff>
                    <xdr:row>9</xdr:row>
                    <xdr:rowOff>95250</xdr:rowOff>
                  </from>
                  <to>
                    <xdr:col>13</xdr:col>
                    <xdr:colOff>561975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Button 8">
              <controlPr defaultSize="0" print="0" autoFill="0" autoPict="0" macro="[0]!pipeAct">
                <anchor moveWithCells="1" sizeWithCells="1">
                  <from>
                    <xdr:col>6</xdr:col>
                    <xdr:colOff>466725</xdr:colOff>
                    <xdr:row>5</xdr:row>
                    <xdr:rowOff>152400</xdr:rowOff>
                  </from>
                  <to>
                    <xdr:col>8</xdr:col>
                    <xdr:colOff>371475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Button 9">
              <controlPr defaultSize="0" print="0" autoFill="0" autoPict="0" macro="[0]!slabAct">
                <anchor moveWithCells="1" sizeWithCells="1">
                  <from>
                    <xdr:col>6</xdr:col>
                    <xdr:colOff>466725</xdr:colOff>
                    <xdr:row>7</xdr:row>
                    <xdr:rowOff>38100</xdr:rowOff>
                  </from>
                  <to>
                    <xdr:col>8</xdr:col>
                    <xdr:colOff>371475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Button 10">
              <controlPr defaultSize="0" print="0" autoFill="0" autoPict="0" macro="[0]!boxAct">
                <anchor moveWithCells="1" sizeWithCells="1">
                  <from>
                    <xdr:col>6</xdr:col>
                    <xdr:colOff>466725</xdr:colOff>
                    <xdr:row>8</xdr:row>
                    <xdr:rowOff>133350</xdr:rowOff>
                  </from>
                  <to>
                    <xdr:col>8</xdr:col>
                    <xdr:colOff>371475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Button 11">
              <controlPr defaultSize="0" print="0" autoFill="0" autoPict="0" macro="[0]!rwAct">
                <anchor moveWithCells="1" sizeWithCells="1">
                  <from>
                    <xdr:col>6</xdr:col>
                    <xdr:colOff>466725</xdr:colOff>
                    <xdr:row>10</xdr:row>
                    <xdr:rowOff>66675</xdr:rowOff>
                  </from>
                  <to>
                    <xdr:col>8</xdr:col>
                    <xdr:colOff>371475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Button 12">
              <controlPr defaultSize="0" print="0" autoFill="0" autoPict="0">
                <anchor moveWithCells="1" sizeWithCells="1">
                  <from>
                    <xdr:col>6</xdr:col>
                    <xdr:colOff>466725</xdr:colOff>
                    <xdr:row>11</xdr:row>
                    <xdr:rowOff>180975</xdr:rowOff>
                  </from>
                  <to>
                    <xdr:col>8</xdr:col>
                    <xdr:colOff>371475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7" tint="-0.249977111117893"/>
  </sheetPr>
  <dimension ref="A1:L54"/>
  <sheetViews>
    <sheetView workbookViewId="0">
      <selection activeCell="A10" sqref="A10"/>
    </sheetView>
  </sheetViews>
  <sheetFormatPr defaultRowHeight="12.75"/>
  <cols>
    <col min="1" max="1" width="10.140625" customWidth="1"/>
    <col min="9" max="9" width="10.28515625" customWidth="1"/>
  </cols>
  <sheetData>
    <row r="1" spans="1:10">
      <c r="A1">
        <v>0</v>
      </c>
      <c r="B1" t="b">
        <v>1</v>
      </c>
    </row>
    <row r="2" spans="1:10">
      <c r="A2">
        <v>22</v>
      </c>
      <c r="E2" s="32" t="s">
        <v>104</v>
      </c>
      <c r="G2" s="32">
        <v>12</v>
      </c>
      <c r="H2" t="s">
        <v>379</v>
      </c>
    </row>
    <row r="3" spans="1:10">
      <c r="A3" s="82" t="s">
        <v>105</v>
      </c>
      <c r="C3" t="s">
        <v>106</v>
      </c>
    </row>
    <row r="4" spans="1:10">
      <c r="A4" s="83">
        <f>Pipe!A1</f>
        <v>0.2</v>
      </c>
      <c r="C4" s="83">
        <v>-4.0000000000000009</v>
      </c>
      <c r="I4" s="89"/>
      <c r="J4" s="90"/>
    </row>
    <row r="5" spans="1:10">
      <c r="C5" t="s">
        <v>104</v>
      </c>
      <c r="I5" s="33"/>
      <c r="J5" s="31"/>
    </row>
    <row r="6" spans="1:10">
      <c r="A6" t="s">
        <v>107</v>
      </c>
      <c r="B6" t="s">
        <v>108</v>
      </c>
      <c r="C6" s="32">
        <v>2.5</v>
      </c>
      <c r="D6" s="32" t="s">
        <v>38</v>
      </c>
      <c r="E6" s="32" t="s">
        <v>39</v>
      </c>
      <c r="I6" s="33"/>
      <c r="J6" s="31"/>
    </row>
    <row r="7" spans="1:10">
      <c r="A7">
        <f>[1]main!$B$4</f>
        <v>1220</v>
      </c>
      <c r="B7">
        <f>[1]main!$I$6</f>
        <v>0.1</v>
      </c>
      <c r="D7" s="32">
        <v>245.20057704322372</v>
      </c>
      <c r="E7" s="32">
        <v>1878.1884772149863</v>
      </c>
      <c r="I7" s="33"/>
      <c r="J7" s="31"/>
    </row>
    <row r="8" spans="1:10">
      <c r="A8" s="92">
        <f>(A7/1000+B7)</f>
        <v>1.32</v>
      </c>
      <c r="B8" t="s">
        <v>109</v>
      </c>
      <c r="D8" s="32">
        <v>254.00030338151703</v>
      </c>
      <c r="E8" s="32">
        <v>1878.1884772149863</v>
      </c>
      <c r="I8" s="33"/>
      <c r="J8" s="31"/>
    </row>
    <row r="9" spans="1:10">
      <c r="A9" s="92">
        <f>(A7/1000+B7)</f>
        <v>1.32</v>
      </c>
      <c r="B9" s="91" t="s">
        <v>161</v>
      </c>
      <c r="D9" s="32"/>
      <c r="E9" s="32"/>
      <c r="I9" s="33"/>
      <c r="J9" s="31"/>
    </row>
    <row r="10" spans="1:10" ht="15">
      <c r="A10" s="84">
        <f>[1]SLB_CU!$D$12+[1]SLB_CU!$E$12</f>
        <v>1.5050000000000001</v>
      </c>
      <c r="B10" s="231" t="s">
        <v>173</v>
      </c>
      <c r="C10" s="232" t="s">
        <v>172</v>
      </c>
      <c r="D10" s="32">
        <f>[1]SLB_CU!$E$12</f>
        <v>1.3</v>
      </c>
      <c r="I10" s="33"/>
      <c r="J10" s="31"/>
    </row>
    <row r="11" spans="1:10" ht="15">
      <c r="A11" s="228">
        <f>[1]BOX_CU!$D$8+[1]BOX_CU!$E$8</f>
        <v>1.2</v>
      </c>
      <c r="B11" s="91" t="s">
        <v>169</v>
      </c>
      <c r="F11" s="85"/>
      <c r="I11" s="33"/>
      <c r="J11" s="31"/>
    </row>
    <row r="12" spans="1:10" ht="15">
      <c r="A12">
        <v>0.38</v>
      </c>
      <c r="B12" t="s">
        <v>119</v>
      </c>
      <c r="D12" s="86"/>
      <c r="I12" s="35"/>
      <c r="J12" s="34"/>
    </row>
    <row r="13" spans="1:10" ht="15">
      <c r="A13">
        <v>0</v>
      </c>
      <c r="B13">
        <v>0</v>
      </c>
      <c r="D13" s="86"/>
    </row>
    <row r="14" spans="1:10" ht="15">
      <c r="A14">
        <v>960.32238569044864</v>
      </c>
      <c r="B14">
        <v>-14947.868310918428</v>
      </c>
      <c r="D14" s="86"/>
    </row>
    <row r="15" spans="1:10" ht="15">
      <c r="D15" s="86"/>
    </row>
    <row r="16" spans="1:10" ht="15">
      <c r="D16" s="86"/>
      <c r="H16" s="66" t="s">
        <v>380</v>
      </c>
      <c r="I16" s="67"/>
    </row>
    <row r="17" spans="1:12" ht="15">
      <c r="D17" s="86"/>
      <c r="H17" s="32" t="s">
        <v>381</v>
      </c>
      <c r="I17" s="32" t="s">
        <v>382</v>
      </c>
    </row>
    <row r="18" spans="1:12" ht="15">
      <c r="D18" s="86"/>
      <c r="H18" s="32">
        <f>[1]SLB_CU!$C$12</f>
        <v>0.3</v>
      </c>
      <c r="I18" s="32">
        <f>[1]BOX_CU!$M$8</f>
        <v>0.2</v>
      </c>
    </row>
    <row r="19" spans="1:12" ht="15" customHeight="1">
      <c r="A19" s="668" t="s">
        <v>167</v>
      </c>
      <c r="B19" s="668"/>
      <c r="C19" s="668"/>
      <c r="D19" s="668"/>
      <c r="E19" s="668"/>
    </row>
    <row r="20" spans="1:12" ht="15">
      <c r="A20" s="667" t="s">
        <v>162</v>
      </c>
      <c r="B20" s="667"/>
      <c r="C20" s="89" t="s">
        <v>163</v>
      </c>
      <c r="D20" s="90"/>
      <c r="E20" s="221" t="s">
        <v>166</v>
      </c>
    </row>
    <row r="21" spans="1:12">
      <c r="A21" s="32" t="s">
        <v>38</v>
      </c>
      <c r="B21" s="32" t="s">
        <v>39</v>
      </c>
      <c r="C21" s="32" t="s">
        <v>164</v>
      </c>
      <c r="D21" s="32" t="s">
        <v>165</v>
      </c>
      <c r="E21" s="222">
        <f>ABS(D22)-ABS(B22)</f>
        <v>-1.649569805019155</v>
      </c>
    </row>
    <row r="22" spans="1:12">
      <c r="A22" s="32">
        <v>250</v>
      </c>
      <c r="B22" s="32">
        <v>1879.8380470200054</v>
      </c>
      <c r="C22" s="32">
        <v>250</v>
      </c>
      <c r="D22" s="32">
        <v>1878.1884772149863</v>
      </c>
    </row>
    <row r="23" spans="1:12" ht="15">
      <c r="K23" s="87" t="s">
        <v>110</v>
      </c>
      <c r="L23" s="87"/>
    </row>
    <row r="24" spans="1:12" ht="15">
      <c r="D24" t="s">
        <v>111</v>
      </c>
      <c r="K24" s="87"/>
      <c r="L24" s="87"/>
    </row>
    <row r="25" spans="1:12" ht="15">
      <c r="A25" t="s">
        <v>3</v>
      </c>
      <c r="B25">
        <v>0</v>
      </c>
      <c r="C25" t="s">
        <v>112</v>
      </c>
      <c r="D25" s="68">
        <v>0</v>
      </c>
      <c r="F25" t="b">
        <f t="shared" ref="F25:F42" si="0">IF(MOD(B25,3)=0,TRUE,"")</f>
        <v>1</v>
      </c>
      <c r="K25" s="87" t="s">
        <v>113</v>
      </c>
      <c r="L25" s="87"/>
    </row>
    <row r="26" spans="1:12" ht="15">
      <c r="A26">
        <v>2</v>
      </c>
      <c r="B26">
        <v>1</v>
      </c>
      <c r="F26" t="str">
        <f t="shared" si="0"/>
        <v/>
      </c>
      <c r="K26" s="87"/>
      <c r="L26" s="87" t="s">
        <v>114</v>
      </c>
    </row>
    <row r="27" spans="1:12" ht="15">
      <c r="A27" s="88">
        <v>3</v>
      </c>
      <c r="B27" s="88">
        <v>2</v>
      </c>
      <c r="C27" s="88">
        <v>0</v>
      </c>
      <c r="F27" t="str">
        <f t="shared" si="0"/>
        <v/>
      </c>
      <c r="K27" s="87"/>
      <c r="L27" s="87" t="s">
        <v>115</v>
      </c>
    </row>
    <row r="28" spans="1:12" ht="15">
      <c r="A28">
        <v>4</v>
      </c>
      <c r="B28">
        <v>3</v>
      </c>
      <c r="C28" t="s">
        <v>112</v>
      </c>
      <c r="D28" s="68"/>
      <c r="F28" t="b">
        <f t="shared" si="0"/>
        <v>1</v>
      </c>
      <c r="K28" s="87"/>
      <c r="L28" s="87" t="s">
        <v>116</v>
      </c>
    </row>
    <row r="29" spans="1:12" ht="15">
      <c r="A29">
        <v>5</v>
      </c>
      <c r="B29">
        <v>4</v>
      </c>
      <c r="F29" t="str">
        <f t="shared" si="0"/>
        <v/>
      </c>
      <c r="K29" s="87" t="s">
        <v>117</v>
      </c>
      <c r="L29" s="87"/>
    </row>
    <row r="30" spans="1:12" ht="15">
      <c r="A30" s="88">
        <v>6</v>
      </c>
      <c r="B30" s="88">
        <v>5</v>
      </c>
      <c r="C30" s="88">
        <v>0</v>
      </c>
      <c r="F30" t="str">
        <f t="shared" si="0"/>
        <v/>
      </c>
      <c r="K30" s="87" t="s">
        <v>118</v>
      </c>
      <c r="L30" s="87"/>
    </row>
    <row r="31" spans="1:12">
      <c r="A31">
        <v>7</v>
      </c>
      <c r="B31">
        <v>6</v>
      </c>
      <c r="C31" t="s">
        <v>112</v>
      </c>
      <c r="D31" s="68"/>
      <c r="F31" t="b">
        <f t="shared" si="0"/>
        <v>1</v>
      </c>
    </row>
    <row r="32" spans="1:12">
      <c r="A32">
        <v>8</v>
      </c>
      <c r="B32">
        <v>7</v>
      </c>
      <c r="F32" t="str">
        <f t="shared" si="0"/>
        <v/>
      </c>
    </row>
    <row r="33" spans="1:9">
      <c r="A33" s="88">
        <v>9</v>
      </c>
      <c r="B33" s="88">
        <v>8</v>
      </c>
      <c r="C33" s="88">
        <v>0</v>
      </c>
      <c r="F33" t="str">
        <f t="shared" si="0"/>
        <v/>
      </c>
    </row>
    <row r="34" spans="1:9">
      <c r="A34">
        <v>10</v>
      </c>
      <c r="B34">
        <v>9</v>
      </c>
      <c r="C34" t="s">
        <v>112</v>
      </c>
      <c r="D34" s="68"/>
      <c r="F34" t="b">
        <f t="shared" si="0"/>
        <v>1</v>
      </c>
    </row>
    <row r="35" spans="1:9">
      <c r="A35">
        <v>11</v>
      </c>
      <c r="B35">
        <v>10</v>
      </c>
      <c r="F35" t="str">
        <f t="shared" si="0"/>
        <v/>
      </c>
    </row>
    <row r="36" spans="1:9">
      <c r="A36" s="88">
        <v>12</v>
      </c>
      <c r="B36" s="88">
        <v>11</v>
      </c>
      <c r="C36" s="88">
        <v>0</v>
      </c>
      <c r="F36" t="str">
        <f t="shared" si="0"/>
        <v/>
      </c>
    </row>
    <row r="37" spans="1:9">
      <c r="A37">
        <v>13</v>
      </c>
      <c r="B37">
        <v>12</v>
      </c>
      <c r="C37" t="s">
        <v>112</v>
      </c>
      <c r="D37" s="68"/>
      <c r="F37" t="b">
        <f t="shared" si="0"/>
        <v>1</v>
      </c>
    </row>
    <row r="38" spans="1:9">
      <c r="A38">
        <v>14</v>
      </c>
      <c r="B38">
        <v>13</v>
      </c>
      <c r="F38" t="str">
        <f t="shared" si="0"/>
        <v/>
      </c>
    </row>
    <row r="39" spans="1:9">
      <c r="A39" s="88">
        <v>15</v>
      </c>
      <c r="B39" s="88">
        <v>14</v>
      </c>
      <c r="C39" s="88">
        <v>0</v>
      </c>
      <c r="F39" t="str">
        <f t="shared" si="0"/>
        <v/>
      </c>
    </row>
    <row r="40" spans="1:9">
      <c r="A40">
        <v>16</v>
      </c>
      <c r="B40">
        <v>15</v>
      </c>
      <c r="C40" t="s">
        <v>112</v>
      </c>
      <c r="D40" s="68"/>
      <c r="F40" t="b">
        <f t="shared" si="0"/>
        <v>1</v>
      </c>
      <c r="H40" s="66" t="s">
        <v>383</v>
      </c>
      <c r="I40" s="67"/>
    </row>
    <row r="41" spans="1:9">
      <c r="A41">
        <v>17</v>
      </c>
      <c r="B41">
        <v>16</v>
      </c>
      <c r="F41" t="str">
        <f t="shared" si="0"/>
        <v/>
      </c>
      <c r="H41" s="32" t="s">
        <v>38</v>
      </c>
      <c r="I41" s="32" t="s">
        <v>39</v>
      </c>
    </row>
    <row r="42" spans="1:9">
      <c r="A42" s="88">
        <v>18</v>
      </c>
      <c r="B42" s="88">
        <v>17</v>
      </c>
      <c r="C42" s="88">
        <v>0</v>
      </c>
      <c r="F42" t="str">
        <f t="shared" si="0"/>
        <v/>
      </c>
      <c r="H42" s="32">
        <f>[1]BOX_CU!$H$42</f>
        <v>981.82541312720468</v>
      </c>
      <c r="I42" s="32">
        <f>[1]BOX_CU!$I$42</f>
        <v>-30160.989108985825</v>
      </c>
    </row>
    <row r="43" spans="1:9">
      <c r="H43" s="66" t="s">
        <v>384</v>
      </c>
      <c r="I43" s="67"/>
    </row>
    <row r="44" spans="1:9">
      <c r="H44" s="32" t="s">
        <v>38</v>
      </c>
      <c r="I44" s="32" t="s">
        <v>39</v>
      </c>
    </row>
    <row r="45" spans="1:9">
      <c r="H45" s="460">
        <f>[1]BOX_CU!$H$45</f>
        <v>960.408318561069</v>
      </c>
      <c r="I45" s="460">
        <f>[1]BOX_CU!$I$45</f>
        <v>-30161.074777364091</v>
      </c>
    </row>
    <row r="46" spans="1:9">
      <c r="H46" s="66" t="s">
        <v>385</v>
      </c>
      <c r="I46" s="67"/>
    </row>
    <row r="47" spans="1:9">
      <c r="H47" s="32" t="s">
        <v>38</v>
      </c>
      <c r="I47" s="32" t="s">
        <v>39</v>
      </c>
    </row>
    <row r="48" spans="1:9">
      <c r="H48" s="460">
        <f>[1]BOX_CU!$H$48</f>
        <v>971.08721545599292</v>
      </c>
      <c r="I48" s="460">
        <f>[1]BOX_CU!$I$48</f>
        <v>-30096.614507256283</v>
      </c>
    </row>
    <row r="49" spans="8:9">
      <c r="H49" s="66" t="s">
        <v>386</v>
      </c>
      <c r="I49" s="67"/>
    </row>
    <row r="50" spans="8:9">
      <c r="H50" s="32" t="s">
        <v>38</v>
      </c>
      <c r="I50" s="32" t="s">
        <v>39</v>
      </c>
    </row>
    <row r="51" spans="8:9">
      <c r="H51" s="461" t="s">
        <v>387</v>
      </c>
      <c r="I51" s="462"/>
    </row>
    <row r="52" spans="8:9">
      <c r="H52" s="460" t="s">
        <v>38</v>
      </c>
      <c r="I52" s="460" t="s">
        <v>39</v>
      </c>
    </row>
    <row r="53" spans="8:9">
      <c r="H53" s="460">
        <f>[1]BOX_CU!$H$54</f>
        <v>960.408318561069</v>
      </c>
      <c r="I53" s="463">
        <f>[1]BOX_CU!$I$54</f>
        <v>-30161.074777364091</v>
      </c>
    </row>
    <row r="54" spans="8:9">
      <c r="H54" s="66" t="s">
        <v>388</v>
      </c>
      <c r="I54" s="67"/>
    </row>
  </sheetData>
  <mergeCells count="2">
    <mergeCell ref="A20:B20"/>
    <mergeCell ref="A19:E19"/>
  </mergeCells>
  <dataValidations disablePrompts="1" count="2">
    <dataValidation type="list" allowBlank="1" showInputMessage="1" showErrorMessage="1" sqref="E2">
      <formula1>"slope,invert"</formula1>
    </dataValidation>
    <dataValidation type="list" allowBlank="1" showInputMessage="1" showErrorMessage="1" sqref="B1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excav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7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slope.slope">
                <anchor moveWithCells="1" sizeWithCells="1">
                  <from>
                    <xdr:col>5</xdr:col>
                    <xdr:colOff>47625</xdr:colOff>
                    <xdr:row>5</xdr:row>
                    <xdr:rowOff>95250</xdr:rowOff>
                  </from>
                  <to>
                    <xdr:col>7</xdr:col>
                    <xdr:colOff>123825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excav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7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6" name="Button 5">
              <controlPr defaultSize="0" print="0" autoFill="0" autoPict="0" macro="[2]!slope">
                <anchor moveWithCells="1" sizeWithCells="1">
                  <from>
                    <xdr:col>5</xdr:col>
                    <xdr:colOff>47625</xdr:colOff>
                    <xdr:row>5</xdr:row>
                    <xdr:rowOff>95250</xdr:rowOff>
                  </from>
                  <to>
                    <xdr:col>7</xdr:col>
                    <xdr:colOff>123825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7" name="Button 7">
              <controlPr defaultSize="0" print="0" autoFill="0" autoPict="0" macro="[0]!mov_Pipe.mov_Pipe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7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8" name="Button 8">
              <controlPr defaultSize="0" print="0" autoFill="0" autoPict="0" macro="[0]!slope.slope">
                <anchor moveWithCells="1" sizeWithCells="1">
                  <from>
                    <xdr:col>5</xdr:col>
                    <xdr:colOff>47625</xdr:colOff>
                    <xdr:row>5</xdr:row>
                    <xdr:rowOff>95250</xdr:rowOff>
                  </from>
                  <to>
                    <xdr:col>7</xdr:col>
                    <xdr:colOff>123825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9" name="Button 10">
              <controlPr defaultSize="0" print="0" autoFill="0" autoPict="0" macro="[0]!pipeAct">
                <anchor moveWithCells="1" sizeWithCells="1">
                  <from>
                    <xdr:col>8</xdr:col>
                    <xdr:colOff>38100</xdr:colOff>
                    <xdr:row>3</xdr:row>
                    <xdr:rowOff>47625</xdr:rowOff>
                  </from>
                  <to>
                    <xdr:col>9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0" name="Button 11">
              <controlPr defaultSize="0" print="0" autoFill="0" autoPict="0" macro="[0]!slabAct">
                <anchor moveWithCells="1" sizeWithCells="1">
                  <from>
                    <xdr:col>8</xdr:col>
                    <xdr:colOff>38100</xdr:colOff>
                    <xdr:row>4</xdr:row>
                    <xdr:rowOff>152400</xdr:rowOff>
                  </from>
                  <to>
                    <xdr:col>9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1" name="Button 12">
              <controlPr defaultSize="0" print="0" autoFill="0" autoPict="0" macro="[0]!boxAct">
                <anchor moveWithCells="1" sizeWithCells="1">
                  <from>
                    <xdr:col>8</xdr:col>
                    <xdr:colOff>38100</xdr:colOff>
                    <xdr:row>6</xdr:row>
                    <xdr:rowOff>114300</xdr:rowOff>
                  </from>
                  <to>
                    <xdr:col>9</xdr:col>
                    <xdr:colOff>552450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2" name="Button 13">
              <controlPr defaultSize="0" print="0" autoFill="0" autoPict="0" macro="[0]!rwAct">
                <anchor moveWithCells="1" sizeWithCells="1">
                  <from>
                    <xdr:col>8</xdr:col>
                    <xdr:colOff>38100</xdr:colOff>
                    <xdr:row>8</xdr:row>
                    <xdr:rowOff>104775</xdr:rowOff>
                  </from>
                  <to>
                    <xdr:col>9</xdr:col>
                    <xdr:colOff>552450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3" name="Button 15">
              <controlPr defaultSize="0" print="0" autoFill="0" autoPict="0" macro="[0]!pipeAct">
                <anchor moveWithCells="1" sizeWithCells="1">
                  <from>
                    <xdr:col>2</xdr:col>
                    <xdr:colOff>200025</xdr:colOff>
                    <xdr:row>10</xdr:row>
                    <xdr:rowOff>114300</xdr:rowOff>
                  </from>
                  <to>
                    <xdr:col>4</xdr:col>
                    <xdr:colOff>104775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4" name="Button 16">
              <controlPr defaultSize="0" print="0" autoFill="0" autoPict="0" macro="[0]!slabAct">
                <anchor moveWithCells="1" sizeWithCells="1">
                  <from>
                    <xdr:col>2</xdr:col>
                    <xdr:colOff>200025</xdr:colOff>
                    <xdr:row>12</xdr:row>
                    <xdr:rowOff>0</xdr:rowOff>
                  </from>
                  <to>
                    <xdr:col>4</xdr:col>
                    <xdr:colOff>104775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5" name="Button 17">
              <controlPr defaultSize="0" print="0" autoFill="0" autoPict="0" macro="[0]!boxAct">
                <anchor moveWithCells="1" sizeWithCells="1">
                  <from>
                    <xdr:col>2</xdr:col>
                    <xdr:colOff>200025</xdr:colOff>
                    <xdr:row>13</xdr:row>
                    <xdr:rowOff>95250</xdr:rowOff>
                  </from>
                  <to>
                    <xdr:col>4</xdr:col>
                    <xdr:colOff>104775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16" name="Button 18">
              <controlPr defaultSize="0" print="0" autoFill="0" autoPict="0" macro="[0]!rwAct">
                <anchor moveWithCells="1" sizeWithCells="1">
                  <from>
                    <xdr:col>2</xdr:col>
                    <xdr:colOff>200025</xdr:colOff>
                    <xdr:row>15</xdr:row>
                    <xdr:rowOff>28575</xdr:rowOff>
                  </from>
                  <to>
                    <xdr:col>4</xdr:col>
                    <xdr:colOff>104775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17" name="Button 19">
              <controlPr defaultSize="0" print="0" autoFill="0" autoPict="0">
                <anchor moveWithCells="1" sizeWithCells="1">
                  <from>
                    <xdr:col>2</xdr:col>
                    <xdr:colOff>200025</xdr:colOff>
                    <xdr:row>16</xdr:row>
                    <xdr:rowOff>142875</xdr:rowOff>
                  </from>
                  <to>
                    <xdr:col>4</xdr:col>
                    <xdr:colOff>104775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18" name="Button 21">
              <controlPr defaultSize="0" print="0" autoFill="0" autoPict="0" macro="[0]!mov_SLAB.mov_Slab">
                <anchor moveWithCells="1" sizeWithCells="1">
                  <from>
                    <xdr:col>4</xdr:col>
                    <xdr:colOff>428625</xdr:colOff>
                    <xdr:row>11</xdr:row>
                    <xdr:rowOff>95250</xdr:rowOff>
                  </from>
                  <to>
                    <xdr:col>6</xdr:col>
                    <xdr:colOff>504825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</vt:lpstr>
      <vt:lpstr>Pipe</vt:lpstr>
      <vt:lpstr>Slab</vt:lpstr>
      <vt:lpstr>Box</vt:lpstr>
      <vt:lpstr>Pipe Culvert</vt:lpstr>
      <vt:lpstr>Schedule</vt:lpstr>
      <vt:lpstr>Variabel data</vt:lpstr>
      <vt:lpstr>excav</vt:lpstr>
      <vt:lpstr>mov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2020-08-09T12:28:01Z</dcterms:created>
  <dcterms:modified xsi:type="dcterms:W3CDTF">2021-04-08T11:18:16Z</dcterms:modified>
</cp:coreProperties>
</file>