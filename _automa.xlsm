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4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9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0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65" yWindow="2010" windowWidth="11130" windowHeight="6990" tabRatio="407"/>
  </bookViews>
  <sheets>
    <sheet name="Main" sheetId="9" r:id="rId1"/>
    <sheet name="pk_length" sheetId="1" r:id="rId2"/>
    <sheet name="pk_Text" sheetId="2" r:id="rId3"/>
    <sheet name="send_coordinates" sheetId="3" r:id="rId4"/>
    <sheet name="pk_coordinates" sheetId="4" r:id="rId5"/>
    <sheet name="slope" sheetId="5" r:id="rId6"/>
    <sheet name="csvExtr" sheetId="6" r:id="rId7"/>
    <sheet name="CAD2txt" sheetId="7" r:id="rId8"/>
    <sheet name="Select_Inside" sheetId="10" r:id="rId9"/>
    <sheet name="excav" sheetId="11" r:id="rId10"/>
    <sheet name="Make_Table" sheetId="13" r:id="rId11"/>
    <sheet name="Ms_RW" sheetId="14" r:id="rId12"/>
    <sheet name="RC_RW" sheetId="15" r:id="rId13"/>
  </sheets>
  <functionGroups builtInGroupCount="17"/>
  <externalReferences>
    <externalReference r:id="rId14"/>
  </externalReferences>
  <definedNames>
    <definedName name="_xlnm._FilterDatabase" localSheetId="6" hidden="1">csvExtr!$E$1:$E$2</definedName>
    <definedName name="_xlnm._FilterDatabase" localSheetId="1" hidden="1">pk_length!$QJ$33:$QK$46</definedName>
    <definedName name="_xlnm._FilterDatabase" localSheetId="2" hidden="1">pk_Text!$A$5:$A$138</definedName>
    <definedName name="_xlnm.Extract" localSheetId="6">csvExtr!$F$4</definedName>
  </definedNames>
  <calcPr calcId="145621"/>
</workbook>
</file>

<file path=xl/calcChain.xml><?xml version="1.0" encoding="utf-8"?>
<calcChain xmlns="http://schemas.openxmlformats.org/spreadsheetml/2006/main">
  <c r="B1" i="1" l="1"/>
  <c r="B1" i="2" l="1"/>
  <c r="Z17" i="11"/>
  <c r="Z16" i="11"/>
  <c r="Z15" i="11"/>
  <c r="Z14" i="11"/>
  <c r="Z13" i="11"/>
  <c r="Z12" i="11"/>
  <c r="Z11" i="11"/>
  <c r="Z10" i="11"/>
  <c r="Z9" i="11"/>
  <c r="Z8" i="11"/>
  <c r="Z7" i="11"/>
  <c r="Z6" i="11"/>
  <c r="Z5" i="11"/>
  <c r="Z4" i="11"/>
  <c r="C8" i="14" l="1"/>
  <c r="C9" i="14"/>
  <c r="C2" i="14"/>
  <c r="G9" i="14" l="1"/>
  <c r="H9" i="14" s="1"/>
  <c r="C7" i="14" l="1"/>
  <c r="H36" i="1" l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F25" i="1" l="1"/>
  <c r="F24" i="1"/>
  <c r="J85" i="1" l="1"/>
  <c r="J86" i="1"/>
  <c r="J87" i="1"/>
  <c r="J88" i="1"/>
  <c r="J89" i="1"/>
  <c r="J90" i="1"/>
  <c r="J91" i="1"/>
  <c r="J92" i="1"/>
  <c r="J93" i="1"/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E15" i="14" l="1"/>
  <c r="A3" i="1" l="1"/>
  <c r="D236" i="11" l="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E203" i="11" s="1"/>
  <c r="D202" i="11"/>
  <c r="E202" i="11" s="1"/>
  <c r="D201" i="11"/>
  <c r="E201" i="11" s="1"/>
  <c r="D200" i="11"/>
  <c r="E200" i="11" s="1"/>
  <c r="D199" i="11"/>
  <c r="E199" i="11" s="1"/>
  <c r="D198" i="11"/>
  <c r="E198" i="11" s="1"/>
  <c r="D197" i="11"/>
  <c r="E197" i="11" s="1"/>
  <c r="D196" i="11"/>
  <c r="E196" i="11" s="1"/>
  <c r="D195" i="11"/>
  <c r="E195" i="11" s="1"/>
  <c r="D194" i="11"/>
  <c r="E194" i="11" s="1"/>
  <c r="D193" i="11"/>
  <c r="E193" i="11" s="1"/>
  <c r="D192" i="11"/>
  <c r="E192" i="11" s="1"/>
  <c r="D191" i="11"/>
  <c r="E191" i="11" s="1"/>
  <c r="D190" i="11"/>
  <c r="E190" i="11" s="1"/>
  <c r="D189" i="11"/>
  <c r="E189" i="11" s="1"/>
  <c r="D188" i="11"/>
  <c r="E188" i="11" s="1"/>
  <c r="D187" i="11"/>
  <c r="E187" i="11" s="1"/>
  <c r="D186" i="11"/>
  <c r="E186" i="11" s="1"/>
  <c r="D185" i="11"/>
  <c r="E185" i="11" s="1"/>
  <c r="D184" i="11"/>
  <c r="E184" i="11" s="1"/>
  <c r="D183" i="11"/>
  <c r="E183" i="11" s="1"/>
  <c r="D182" i="11"/>
  <c r="E182" i="11" s="1"/>
  <c r="D181" i="11"/>
  <c r="E181" i="11" s="1"/>
  <c r="D180" i="11"/>
  <c r="E180" i="11" s="1"/>
  <c r="D179" i="11"/>
  <c r="E179" i="11" s="1"/>
  <c r="D178" i="11"/>
  <c r="E178" i="11" s="1"/>
  <c r="D177" i="11"/>
  <c r="E177" i="11" s="1"/>
  <c r="D176" i="11"/>
  <c r="E176" i="11" s="1"/>
  <c r="D175" i="11"/>
  <c r="E175" i="11" s="1"/>
  <c r="D174" i="11"/>
  <c r="E174" i="11" s="1"/>
  <c r="D173" i="11"/>
  <c r="E173" i="11" s="1"/>
  <c r="D172" i="11"/>
  <c r="E172" i="11" s="1"/>
  <c r="D171" i="11"/>
  <c r="E171" i="11" s="1"/>
  <c r="D170" i="11"/>
  <c r="E170" i="11" s="1"/>
  <c r="D169" i="11"/>
  <c r="E169" i="11" s="1"/>
  <c r="D168" i="11"/>
  <c r="E168" i="11" s="1"/>
  <c r="D167" i="11"/>
  <c r="E167" i="11" s="1"/>
  <c r="D166" i="11"/>
  <c r="E166" i="11" s="1"/>
  <c r="D165" i="11"/>
  <c r="E165" i="11" s="1"/>
  <c r="D164" i="11"/>
  <c r="E164" i="11" s="1"/>
  <c r="D163" i="11"/>
  <c r="E163" i="11" s="1"/>
  <c r="D162" i="11"/>
  <c r="E162" i="11" s="1"/>
  <c r="D161" i="11"/>
  <c r="E161" i="11" s="1"/>
  <c r="D160" i="11"/>
  <c r="E160" i="11" s="1"/>
  <c r="D159" i="11"/>
  <c r="E159" i="11" s="1"/>
  <c r="D158" i="11"/>
  <c r="E158" i="11" s="1"/>
  <c r="D157" i="11"/>
  <c r="E157" i="11" s="1"/>
  <c r="D156" i="11"/>
  <c r="E156" i="11" s="1"/>
  <c r="D155" i="11"/>
  <c r="E155" i="11" s="1"/>
  <c r="D154" i="11"/>
  <c r="E154" i="11" s="1"/>
  <c r="D153" i="11"/>
  <c r="E153" i="11" s="1"/>
  <c r="D152" i="11"/>
  <c r="E152" i="11" s="1"/>
  <c r="D151" i="11"/>
  <c r="E151" i="11" s="1"/>
  <c r="D150" i="11"/>
  <c r="E150" i="11" s="1"/>
  <c r="D149" i="11"/>
  <c r="E149" i="11" s="1"/>
  <c r="D148" i="11"/>
  <c r="E148" i="11" s="1"/>
  <c r="D147" i="11"/>
  <c r="E147" i="11" s="1"/>
  <c r="D146" i="11"/>
  <c r="E146" i="11" s="1"/>
  <c r="D145" i="11"/>
  <c r="E145" i="11" s="1"/>
  <c r="D144" i="11"/>
  <c r="E144" i="11" s="1"/>
  <c r="D143" i="11"/>
  <c r="E143" i="11" s="1"/>
  <c r="D142" i="11"/>
  <c r="E142" i="11" s="1"/>
  <c r="D141" i="11"/>
  <c r="E141" i="11" s="1"/>
  <c r="D140" i="11"/>
  <c r="E140" i="11" s="1"/>
  <c r="D139" i="11"/>
  <c r="E139" i="11" s="1"/>
  <c r="D138" i="11"/>
  <c r="E138" i="11" s="1"/>
  <c r="D137" i="11"/>
  <c r="E137" i="11" s="1"/>
  <c r="D136" i="11"/>
  <c r="E136" i="11" s="1"/>
  <c r="D135" i="11"/>
  <c r="E135" i="11" s="1"/>
  <c r="D134" i="11"/>
  <c r="E134" i="11" s="1"/>
  <c r="D133" i="11"/>
  <c r="E133" i="11" s="1"/>
  <c r="D132" i="11"/>
  <c r="E132" i="11" s="1"/>
  <c r="D131" i="11"/>
  <c r="E131" i="11" s="1"/>
  <c r="D130" i="11"/>
  <c r="E130" i="11" s="1"/>
  <c r="D129" i="11"/>
  <c r="E129" i="11" s="1"/>
  <c r="D128" i="11"/>
  <c r="E128" i="11" s="1"/>
  <c r="D127" i="11"/>
  <c r="E127" i="11" s="1"/>
  <c r="D126" i="11"/>
  <c r="E126" i="11" s="1"/>
  <c r="D125" i="11"/>
  <c r="E125" i="11" s="1"/>
  <c r="D124" i="11"/>
  <c r="E124" i="11" s="1"/>
  <c r="D123" i="11"/>
  <c r="E123" i="11" s="1"/>
  <c r="D122" i="11"/>
  <c r="E122" i="11" s="1"/>
  <c r="D121" i="11"/>
  <c r="E121" i="11" s="1"/>
  <c r="D120" i="11"/>
  <c r="E120" i="11" s="1"/>
  <c r="D119" i="11"/>
  <c r="E119" i="11" s="1"/>
  <c r="D118" i="11"/>
  <c r="E118" i="11" s="1"/>
  <c r="D117" i="11"/>
  <c r="E117" i="11" s="1"/>
  <c r="D116" i="11"/>
  <c r="E116" i="11" s="1"/>
  <c r="D115" i="11"/>
  <c r="E115" i="11" s="1"/>
  <c r="D114" i="11"/>
  <c r="E114" i="11" s="1"/>
  <c r="D113" i="11"/>
  <c r="E113" i="11" s="1"/>
  <c r="D112" i="11"/>
  <c r="E112" i="11" s="1"/>
  <c r="D111" i="11"/>
  <c r="E111" i="11" s="1"/>
  <c r="D110" i="11"/>
  <c r="E110" i="11" s="1"/>
  <c r="D109" i="11"/>
  <c r="E109" i="11" s="1"/>
  <c r="D108" i="11"/>
  <c r="E108" i="11" s="1"/>
  <c r="D107" i="11"/>
  <c r="E107" i="11" s="1"/>
  <c r="D106" i="11"/>
  <c r="E106" i="11" s="1"/>
  <c r="D105" i="11"/>
  <c r="E105" i="11" s="1"/>
  <c r="D104" i="11"/>
  <c r="E104" i="11" s="1"/>
  <c r="D103" i="11"/>
  <c r="E103" i="11" s="1"/>
  <c r="D102" i="11"/>
  <c r="E102" i="11" s="1"/>
  <c r="D101" i="11"/>
  <c r="E101" i="11" s="1"/>
  <c r="D100" i="11"/>
  <c r="E100" i="11" s="1"/>
  <c r="D99" i="11"/>
  <c r="E99" i="11" s="1"/>
  <c r="D98" i="11"/>
  <c r="E98" i="11" s="1"/>
  <c r="D97" i="11"/>
  <c r="E97" i="11" s="1"/>
  <c r="D96" i="11"/>
  <c r="E96" i="11" s="1"/>
  <c r="D95" i="11"/>
  <c r="E95" i="11" s="1"/>
  <c r="D94" i="11"/>
  <c r="E94" i="11" s="1"/>
  <c r="D93" i="11"/>
  <c r="E93" i="11" s="1"/>
  <c r="D92" i="11"/>
  <c r="E92" i="11" s="1"/>
  <c r="D91" i="11"/>
  <c r="E91" i="11" s="1"/>
  <c r="D90" i="11"/>
  <c r="E90" i="11" s="1"/>
  <c r="D89" i="11"/>
  <c r="E89" i="11" s="1"/>
  <c r="D88" i="11"/>
  <c r="E88" i="11" s="1"/>
  <c r="D87" i="11"/>
  <c r="E87" i="11" s="1"/>
  <c r="D86" i="11"/>
  <c r="E86" i="11" s="1"/>
  <c r="D85" i="11"/>
  <c r="E85" i="11" s="1"/>
  <c r="D84" i="11"/>
  <c r="E84" i="11" s="1"/>
  <c r="D83" i="11"/>
  <c r="E83" i="11" s="1"/>
  <c r="D82" i="11"/>
  <c r="E82" i="11" s="1"/>
  <c r="D81" i="11"/>
  <c r="E81" i="11" s="1"/>
  <c r="D80" i="11"/>
  <c r="E80" i="11" s="1"/>
  <c r="D79" i="11"/>
  <c r="E79" i="11" s="1"/>
  <c r="D78" i="11"/>
  <c r="E78" i="11" s="1"/>
  <c r="D77" i="11"/>
  <c r="E77" i="11" s="1"/>
  <c r="D76" i="11"/>
  <c r="E76" i="11" s="1"/>
  <c r="D75" i="11"/>
  <c r="E75" i="11" s="1"/>
  <c r="D74" i="11"/>
  <c r="E74" i="11" s="1"/>
  <c r="D73" i="11"/>
  <c r="E73" i="11" s="1"/>
  <c r="D72" i="11"/>
  <c r="E72" i="11" s="1"/>
  <c r="D71" i="11"/>
  <c r="E71" i="11" s="1"/>
  <c r="D70" i="11"/>
  <c r="E70" i="11" s="1"/>
  <c r="D69" i="11"/>
  <c r="E69" i="11" s="1"/>
  <c r="D68" i="11"/>
  <c r="E68" i="11" s="1"/>
  <c r="D67" i="11"/>
  <c r="E67" i="11" s="1"/>
  <c r="D66" i="11"/>
  <c r="E66" i="11" s="1"/>
  <c r="D65" i="11"/>
  <c r="E65" i="11" s="1"/>
  <c r="D64" i="11"/>
  <c r="E64" i="11" s="1"/>
  <c r="D63" i="11"/>
  <c r="E63" i="11" s="1"/>
  <c r="D62" i="11"/>
  <c r="E62" i="11" s="1"/>
  <c r="D61" i="11"/>
  <c r="E61" i="11" s="1"/>
  <c r="D60" i="11"/>
  <c r="E60" i="11" s="1"/>
  <c r="D59" i="11"/>
  <c r="E59" i="11" s="1"/>
  <c r="D58" i="11"/>
  <c r="E58" i="11" s="1"/>
  <c r="D57" i="11"/>
  <c r="E57" i="11" s="1"/>
  <c r="D56" i="11"/>
  <c r="E56" i="11" s="1"/>
  <c r="D55" i="11"/>
  <c r="E55" i="11" s="1"/>
  <c r="D54" i="11"/>
  <c r="E54" i="11" s="1"/>
  <c r="D53" i="11"/>
  <c r="E53" i="11" s="1"/>
  <c r="D52" i="11"/>
  <c r="E52" i="11" s="1"/>
  <c r="D51" i="11"/>
  <c r="E51" i="11" s="1"/>
  <c r="D50" i="11"/>
  <c r="E50" i="11" s="1"/>
  <c r="D49" i="11"/>
  <c r="E49" i="11" s="1"/>
  <c r="D48" i="11"/>
  <c r="E48" i="11" s="1"/>
  <c r="D47" i="11"/>
  <c r="E47" i="11" s="1"/>
  <c r="D46" i="11"/>
  <c r="E46" i="11" s="1"/>
  <c r="D45" i="11"/>
  <c r="E45" i="11" s="1"/>
  <c r="D44" i="11"/>
  <c r="E44" i="11" s="1"/>
  <c r="D43" i="11"/>
  <c r="E43" i="11" s="1"/>
  <c r="D42" i="11"/>
  <c r="E42" i="11" s="1"/>
  <c r="D41" i="11"/>
  <c r="E41" i="11" s="1"/>
  <c r="D40" i="11"/>
  <c r="E40" i="11" s="1"/>
  <c r="D39" i="11"/>
  <c r="E39" i="11" s="1"/>
  <c r="D38" i="11"/>
  <c r="E38" i="11" s="1"/>
  <c r="D37" i="11"/>
  <c r="E37" i="11" s="1"/>
  <c r="D36" i="11"/>
  <c r="E36" i="11" s="1"/>
  <c r="K35" i="11"/>
  <c r="D35" i="11"/>
  <c r="E35" i="11" s="1"/>
  <c r="K34" i="11"/>
  <c r="D34" i="11"/>
  <c r="E34" i="11" s="1"/>
  <c r="K33" i="11"/>
  <c r="D33" i="11"/>
  <c r="E33" i="11" s="1"/>
  <c r="K32" i="11"/>
  <c r="D32" i="11"/>
  <c r="E32" i="11" s="1"/>
  <c r="K31" i="11"/>
  <c r="D31" i="11"/>
  <c r="E31" i="11" s="1"/>
  <c r="D30" i="11"/>
  <c r="E30" i="11" s="1"/>
  <c r="D29" i="11"/>
  <c r="E29" i="11" s="1"/>
  <c r="D28" i="11"/>
  <c r="E28" i="11" s="1"/>
  <c r="D27" i="11"/>
  <c r="E27" i="11" s="1"/>
  <c r="D26" i="11"/>
  <c r="E26" i="11" s="1"/>
  <c r="D25" i="11"/>
  <c r="E25" i="11" s="1"/>
  <c r="D24" i="11"/>
  <c r="E24" i="11" s="1"/>
  <c r="D23" i="11"/>
  <c r="E23" i="11" s="1"/>
  <c r="D22" i="11"/>
  <c r="E22" i="11" s="1"/>
  <c r="D21" i="11"/>
  <c r="E21" i="11" s="1"/>
  <c r="D20" i="11"/>
  <c r="E20" i="11" s="1"/>
  <c r="H5" i="11"/>
  <c r="F5" i="11"/>
  <c r="G5" i="11" s="1"/>
  <c r="B13" i="10" l="1"/>
  <c r="B2" i="10" l="1"/>
  <c r="G3" i="7" l="1"/>
  <c r="F2" i="7"/>
</calcChain>
</file>

<file path=xl/comments1.xml><?xml version="1.0" encoding="utf-8"?>
<comments xmlns="http://schemas.openxmlformats.org/spreadsheetml/2006/main">
  <authors>
    <author>User</author>
  </authors>
  <commentList>
    <comment ref="H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pick LINE/POLYLINE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send coordinates to 
AutoCAD by selecting
Range of Coordinates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first selecct
ranges
then hit the button
collect points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G1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include this Layers…
left MH
right MH
left RW
right RW
</t>
        </r>
      </text>
    </comment>
    <comment ref="G23" authorId="0">
      <text>
        <r>
          <rPr>
            <b/>
            <sz val="9"/>
            <color indexed="10"/>
            <rFont val="Tahoma"/>
            <family val="2"/>
          </rPr>
          <t>!!!!!!!!!!!!!!!!!!</t>
        </r>
        <r>
          <rPr>
            <sz val="9"/>
            <color indexed="81"/>
            <rFont val="Tahoma"/>
            <family val="2"/>
          </rPr>
          <t xml:space="preserve">
Make sure to open
only this file… after copy
pasting data to this 
excel sheet
close the original file...</t>
        </r>
      </text>
    </comment>
  </commentList>
</comments>
</file>

<file path=xl/comments5.xml><?xml version="1.0" encoding="utf-8"?>
<comments xmlns="http://schemas.openxmlformats.org/spreadsheetml/2006/main">
  <authors>
    <author>user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try adjusting so that when get selected… 
&gt;&gt;&gt;it draws 0.1m below crashbarrier asside from the roadway</t>
        </r>
      </text>
    </comment>
    <comment ref="D2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adjust here… 
there is problem</t>
        </r>
      </text>
    </comment>
  </commentList>
</comments>
</file>

<file path=xl/sharedStrings.xml><?xml version="1.0" encoding="utf-8"?>
<sst xmlns="http://schemas.openxmlformats.org/spreadsheetml/2006/main" count="488" uniqueCount="276">
  <si>
    <t>obj</t>
  </si>
  <si>
    <t>Station</t>
  </si>
  <si>
    <t>X = 532318.8840 Y = 917884.2739</t>
  </si>
  <si>
    <t>eeee</t>
  </si>
  <si>
    <t>{\fTimes New Roman|b0|i0|c0|p18;           \LSLAB CULVERT PROFILE\P\lChainage-22+660\PName - Slab Culvert @grade\PNo of Cell - one\PClear Span - 2m\PClear Height - 1.75m\PSkew Angle - 0%%D\PSlab length-8.02m\PInvert Slope =1%\PDesign Elevation = 524.64\PInvert Elevation =522.32}</t>
  </si>
  <si>
    <t>{\fTimes New Roman|b0|i0|c0|p18;           \LSLAB CULVERT PROFILE\P\lChainage-25+400\PName - Slab Culvert @Fill\PNo of Cell - one\PClear Span - 4m\PClear Height - 2m\PSkew Angle - 0%%D\PSlab length-14.06m\PInvert Slope =1% to RHS \PDesign Elevation = 516.47\PInvert Elevation =513.90}</t>
  </si>
  <si>
    <t>{\fTimes New Roman|b0|i0|c0|p18;           \LSLAB CULVERT PROFILE\P\lChainage-33+240\PName - Slab Culvert @Fill\PNo of Cell - one\PClear Span - 5m\PClear Height - 2m\PSkew Angle - 0%%D\PSlab length-11.66m\PInvert Slope =1% to RHS \PDesign Elevation = 541.99\PInvert Elevation =539.14}</t>
  </si>
  <si>
    <t>{\fTimes New Roman|b0|i0|c0|p18;           \LSLAB CULVERT PROFILE\P\lChainage-2+560\PName - Slab Culvert @Fill\PNo of Cell - one\PClear Span - 3m\PClear Height - 1.75m\PSkew Angle - 0%%D\PSlab length-11.46m\PInvert Slope =0.5% to RHS \PDesign Elevation = 514.02\PInvert Elevation =511.715}</t>
  </si>
  <si>
    <t>{\fTimes New Roman|b0|i0|c0|p18;           \LSLAB CULVERT PROFILE\P\lChainage-3+050\PName - Slab Culvert @Fill\PNo of Cell - one\PClear Span - 2m\PClear Height - 1.75m\PSkew Angle - 0%%D\PSlab length-12.03m\PInvert Slope =1% to LHS \PDesign Elevation = 516.47\PInvert Elevation =513.90}</t>
  </si>
  <si>
    <t>{\fTimes New Roman|b0|i0|c0|p18;           \LSLAB CULVERT PROFILE\P\lChainage-3+540\PName - Slab Culvert @Fill\PNo of Cell - one\PClear Span - 4m\PClear Height - 1.75m\PSkew Angle - 0%%D\PSlab length-12.09m\PInvert Slope =1% to RHS \PDesign Elevation = 517.77\PInvert Elevation =515.08}</t>
  </si>
  <si>
    <t>{\fTimes New Roman|b0|i0|c0|p18;           \LSLAB CULVERT PROFILE\P\lChainage-3+880\PName - Slab Culvert @Fill\PNo of Cell - one\PClear Span - 3m\PClear Height - 1.75m\PSkew Angle - 0%%D\PSlab length-11.32m\PInvert Slope =0.5% to RHS \PDesign Elevation = 518.31\PInvert Elevation =515.86}</t>
  </si>
  <si>
    <t>{\fTimes New Roman|b0|i0|c0|p18;           \LSLAB CULVERT PROFILE\P\lChainage-4+060\PName - Slab Culvert @Fill\PNo of Cell - one\PClear Span - 3m\PClear Height - 1.75m\PSkew Angle - 0%%D\PSlab length-11.46m\PInvert Slope =0.5% to RHS \PDesign Elevation = 518.60\PInvert Elevation =516.098}</t>
  </si>
  <si>
    <t>{\fTimes New Roman|b0|i0|c0|p18;           \LSLAB CULVERT PROFILE\P\lChainage-4+460\PName - Slab Culvert @Fill\PNo of Cell - one\PClear Span - 2m\PClear Height - 1.75m\PSkew Angle - 0%%D\PSlab length-11.45m\PInvert Slope =1% to RHS \PDesign Elevation = 519.240\PInvert Elevation =516.735}</t>
  </si>
  <si>
    <t>{\fTimes New Roman|b0|i0|c0|p18;           \LSLAB CULVERT PROFILE\P\lChainage-5+360\PName - Slab Culvert @Fill\PNo of Cell - one\PClear Span - 3m\PClear Height - 2.0m\PSkew Angle - 0%%D\PSlab length-11.84m\PInvert Slope =1.0% to RHS \PDesign Elevation = 520.57\PInvert Elevation =517.72}</t>
  </si>
  <si>
    <t>{\fTimes New Roman|b0|i0|c0|p18;           \LSLAB CULVERT PROFILE\P\lChainage-5+460\PName - Slab Culvert @Fill\PNo of Cell - one\PClear Span - 6m\PClear Height - 2.0m\PSkew Angle - 0%%D\PSlab length-11.84m\PInvert Slope =1.0% to RHS \PDesign Elevation = 520.51\PInvert Elevation =517.525}</t>
  </si>
  <si>
    <t>{\fTimes New Roman|b0|i0|c0|p18;           \LSLAB CULVERT PROFILE\P\lChainage-29+735\PName - Slab Culvert @Fill\PNo of Cell - one\PClear Span - 3m\PClear Height - 2.0m\PSkew Angle - 0%%D\PSlab length-11.41m\PInvert Slope =0.5% to RHS \PDesign Elevation = 538.54\PInvert Elevation =535.78}</t>
  </si>
  <si>
    <t>{\fTimes New Roman|b0|i0|c0|p18;           \LSLAB CULVERT PROFILE\P\lChainage-30+177\PName - Slab Culvert @Fill\PNo of Cell - one\PClear Span - 3m\PClear Height - 2.0m\PSkew Angle - 0%%D\PSlab length-11.34m\PInvert Slope =0.5% to RHS \PDesign Elevation = 538.75\PInvert Elevation =536.01}</t>
  </si>
  <si>
    <t>{\fTimes New Roman|b0|i0|c0|p18;           \LSLAB CULVERT PROFILE\P\lChainage-40+160\PName - Slab Culvert @Fill\PNo of Cell - one\PClear Span - 3m\PClear Height - 2.0m\PSkew Angle - 0%%D\PSlab length-12.31m\PInvert Slope =0.5% to RHS \PDesign Elevation = 559.81\PInvert Elevation =556.74}</t>
  </si>
  <si>
    <t>A</t>
  </si>
  <si>
    <t>E</t>
  </si>
  <si>
    <t>B</t>
  </si>
  <si>
    <t>C</t>
  </si>
  <si>
    <t>D</t>
  </si>
  <si>
    <t>H</t>
  </si>
  <si>
    <t>slope</t>
  </si>
  <si>
    <t>wardar</t>
  </si>
  <si>
    <t>point.</t>
  </si>
  <si>
    <t>Easting</t>
  </si>
  <si>
    <t>Northing</t>
  </si>
  <si>
    <t>Height</t>
  </si>
  <si>
    <t>C:\Users\user\Desktop\csv_files</t>
  </si>
  <si>
    <t>&gt;&gt;&gt;&gt;</t>
  </si>
  <si>
    <t>directory</t>
  </si>
  <si>
    <t>ID</t>
  </si>
  <si>
    <t>I</t>
  </si>
  <si>
    <t>seelction with rectangle or polyline inside it..</t>
  </si>
  <si>
    <t xml:space="preserve"> =IF(B20&gt;$B$4,IF(B20&lt;$B$5,B20,""),"")</t>
  </si>
  <si>
    <t xml:space="preserve"> =IF(D20="","",C20)</t>
  </si>
  <si>
    <t>x</t>
  </si>
  <si>
    <t>y</t>
  </si>
  <si>
    <t>extended points are:</t>
  </si>
  <si>
    <t>points in b/n are:-</t>
  </si>
  <si>
    <t>number</t>
  </si>
  <si>
    <t>picked points are:</t>
  </si>
  <si>
    <t>area</t>
  </si>
  <si>
    <t>area=</t>
  </si>
  <si>
    <t>extracted coordinates  list</t>
  </si>
  <si>
    <t>extract all the f.f with vba</t>
  </si>
  <si>
    <t>x'</t>
  </si>
  <si>
    <t>y'</t>
  </si>
  <si>
    <t>DESIGN EL=564.56</t>
  </si>
  <si>
    <t>y(North)</t>
  </si>
  <si>
    <t>x(Easting)</t>
  </si>
  <si>
    <t>&lt;&lt;&lt;&lt; Paste corrdinates &gt;&gt;&gt; select &gt;&gt;&gt; hit the Button</t>
  </si>
  <si>
    <t>radius</t>
  </si>
  <si>
    <t>Add_ID_TEXT</t>
  </si>
  <si>
    <t>YES</t>
  </si>
  <si>
    <t>id</t>
  </si>
  <si>
    <t>txt_height</t>
  </si>
  <si>
    <t>Selection_Area</t>
  </si>
  <si>
    <t>selection Here</t>
  </si>
  <si>
    <t>%</t>
  </si>
  <si>
    <t>G:\__apJ0s</t>
  </si>
  <si>
    <t>Don't touch edit cells</t>
  </si>
  <si>
    <t>??????????</t>
  </si>
  <si>
    <t>0+100.00</t>
  </si>
  <si>
    <t>0+105.00</t>
  </si>
  <si>
    <t>0+110.00</t>
  </si>
  <si>
    <t>0+115.00</t>
  </si>
  <si>
    <t>0+120.00</t>
  </si>
  <si>
    <t>0+125.00</t>
  </si>
  <si>
    <t>0+130.00</t>
  </si>
  <si>
    <t>0+135.00</t>
  </si>
  <si>
    <t>0+140.00</t>
  </si>
  <si>
    <t>top</t>
  </si>
  <si>
    <t>Dimensions</t>
  </si>
  <si>
    <t>length</t>
  </si>
  <si>
    <t>width</t>
  </si>
  <si>
    <t>DIR</t>
  </si>
  <si>
    <t>R</t>
  </si>
  <si>
    <t>L</t>
  </si>
  <si>
    <t>V</t>
  </si>
  <si>
    <t>dist</t>
  </si>
  <si>
    <t>txt</t>
  </si>
  <si>
    <t>height</t>
  </si>
  <si>
    <t>Hatch</t>
  </si>
  <si>
    <t>Scale</t>
  </si>
  <si>
    <t>Standard_dwg__Normal</t>
  </si>
  <si>
    <t>Fill side</t>
  </si>
  <si>
    <t>Left</t>
  </si>
  <si>
    <t xml:space="preserve">   &gt;&gt;&gt;&gt;&gt;&gt;&gt;</t>
  </si>
  <si>
    <t>Crash_B</t>
  </si>
  <si>
    <t>Table of Dimensions of the wall (m)</t>
  </si>
  <si>
    <t>T1</t>
  </si>
  <si>
    <t>T2</t>
  </si>
  <si>
    <t>T3</t>
  </si>
  <si>
    <t>T4</t>
  </si>
  <si>
    <t>T5</t>
  </si>
  <si>
    <t>T6</t>
  </si>
  <si>
    <t>T7</t>
  </si>
  <si>
    <t>T8</t>
  </si>
  <si>
    <t>L1</t>
  </si>
  <si>
    <t>L2</t>
  </si>
  <si>
    <t>H*</t>
  </si>
  <si>
    <t>Standard_dwg__L_shaped</t>
  </si>
  <si>
    <t>L-Shaped _(cut_section)</t>
  </si>
  <si>
    <t>L-Shaped _(fill_section)</t>
  </si>
  <si>
    <t>excav</t>
  </si>
  <si>
    <t>concrete</t>
  </si>
  <si>
    <t>Area</t>
  </si>
  <si>
    <t xml:space="preserve">!!!!notice here how to find the max… height… </t>
  </si>
  <si>
    <t>!!!and the stations needed to find it…</t>
  </si>
  <si>
    <t>station</t>
  </si>
  <si>
    <t xml:space="preserve"> put the files to be..here</t>
  </si>
  <si>
    <t>Ctr + Shift + X</t>
  </si>
  <si>
    <t xml:space="preserve">         start</t>
  </si>
  <si>
    <t>!!select_offset here</t>
  </si>
  <si>
    <t>STA =100+280.00</t>
  </si>
  <si>
    <t>STA =100+290.00</t>
  </si>
  <si>
    <t>STA =100+300.00</t>
  </si>
  <si>
    <t>STA =100+310.00</t>
  </si>
  <si>
    <t>STA =100+320.00</t>
  </si>
  <si>
    <t>STA =100+330.00</t>
  </si>
  <si>
    <t>STA =100+340.00</t>
  </si>
  <si>
    <t>STA =100+350.00</t>
  </si>
  <si>
    <t>STA =100+360.00</t>
  </si>
  <si>
    <t>STA =100+370.00</t>
  </si>
  <si>
    <t>STA =100+380.00</t>
  </si>
  <si>
    <t>STA =100+390.00</t>
  </si>
  <si>
    <t>STA =100+400.00</t>
  </si>
  <si>
    <t>STA =100+410.00</t>
  </si>
  <si>
    <t>STA =100+418.25</t>
  </si>
  <si>
    <t>Module-1</t>
  </si>
  <si>
    <t>thk</t>
  </si>
  <si>
    <t>pad</t>
  </si>
  <si>
    <t>PAD_offset__dist</t>
  </si>
  <si>
    <t>yes</t>
  </si>
  <si>
    <t>Right</t>
  </si>
  <si>
    <t>Ctr + Shit + Q</t>
  </si>
  <si>
    <t>1+320.00</t>
  </si>
  <si>
    <t>1+340.00</t>
  </si>
  <si>
    <t>1+360.00</t>
  </si>
  <si>
    <t>1+800.00</t>
  </si>
  <si>
    <t>1+820.00</t>
  </si>
  <si>
    <t>1+940.00</t>
  </si>
  <si>
    <t>1+960.00</t>
  </si>
  <si>
    <t>1+980.00</t>
  </si>
  <si>
    <t>2+000.00</t>
  </si>
  <si>
    <t>2+080.00</t>
  </si>
  <si>
    <t>2+100.00</t>
  </si>
  <si>
    <t>2+120.00</t>
  </si>
  <si>
    <t>2+140.00</t>
  </si>
  <si>
    <t>2+160.00</t>
  </si>
  <si>
    <t>2+180.00</t>
  </si>
  <si>
    <t>2+200.00</t>
  </si>
  <si>
    <t>2+220.00</t>
  </si>
  <si>
    <t>2+240.00</t>
  </si>
  <si>
    <t>2+260.00</t>
  </si>
  <si>
    <t>5+880.00</t>
  </si>
  <si>
    <t>5+900.00</t>
  </si>
  <si>
    <t>5+920.00</t>
  </si>
  <si>
    <t>5+940.00</t>
  </si>
  <si>
    <t>5+960.00</t>
  </si>
  <si>
    <t>5+980.00</t>
  </si>
  <si>
    <t>6+000.00</t>
  </si>
  <si>
    <t>6+020.00</t>
  </si>
  <si>
    <t>6+040.00</t>
  </si>
  <si>
    <t>6+060.00</t>
  </si>
  <si>
    <t>6+080.00</t>
  </si>
  <si>
    <t>6+120.00</t>
  </si>
  <si>
    <t>6+140.00</t>
  </si>
  <si>
    <t>6+160.00</t>
  </si>
  <si>
    <t>6+180.00</t>
  </si>
  <si>
    <t>6+200.00</t>
  </si>
  <si>
    <t>7+720.00</t>
  </si>
  <si>
    <t>7+740.00</t>
  </si>
  <si>
    <t>7+760.00</t>
  </si>
  <si>
    <t>7+780.00</t>
  </si>
  <si>
    <t>7+920.00</t>
  </si>
  <si>
    <t>7+940.00</t>
  </si>
  <si>
    <t>7+960.00</t>
  </si>
  <si>
    <t>8+100.00</t>
  </si>
  <si>
    <t>9+540.00</t>
  </si>
  <si>
    <t>9+560.00</t>
  </si>
  <si>
    <t>9+580.00</t>
  </si>
  <si>
    <t>f</t>
  </si>
  <si>
    <t>MS_RW_Type</t>
  </si>
  <si>
    <t>Type</t>
  </si>
  <si>
    <t>pos</t>
  </si>
  <si>
    <t>Position</t>
  </si>
  <si>
    <t>width_2</t>
  </si>
  <si>
    <t>width_1</t>
  </si>
  <si>
    <t>old</t>
  </si>
  <si>
    <t xml:space="preserve">!! It is not working ….. </t>
  </si>
  <si>
    <t>STA</t>
  </si>
  <si>
    <t>collecting Area</t>
  </si>
  <si>
    <t>excav/backfill/…</t>
  </si>
  <si>
    <t>maximum</t>
  </si>
  <si>
    <t>minimum</t>
  </si>
  <si>
    <t>STA =0+459.46</t>
  </si>
  <si>
    <t>STA =0+668.10</t>
  </si>
  <si>
    <t>STA =0+689.20</t>
  </si>
  <si>
    <t>STA =1+303.65</t>
  </si>
  <si>
    <t>STA =1+537.10</t>
  </si>
  <si>
    <t>STA =1+604.52</t>
  </si>
  <si>
    <t>STA =1+982.47</t>
  </si>
  <si>
    <t>STA =11+903.02</t>
  </si>
  <si>
    <t>STA =2+093.58</t>
  </si>
  <si>
    <t>STA =2+556.56</t>
  </si>
  <si>
    <t>STA =2+657.90</t>
  </si>
  <si>
    <t>STA =3+878.89</t>
  </si>
  <si>
    <t>STA =4+417.03</t>
  </si>
  <si>
    <t>STA =4+598.14</t>
  </si>
  <si>
    <t>STA =4+681.63</t>
  </si>
  <si>
    <t>STA =4+804.50</t>
  </si>
  <si>
    <t>STA =4+939.79</t>
  </si>
  <si>
    <t>STA =4+969.92</t>
  </si>
  <si>
    <t>STA =5+107.02</t>
  </si>
  <si>
    <t>STA =5+152.16</t>
  </si>
  <si>
    <t>STA =5+359.19</t>
  </si>
  <si>
    <t>STA =5+563.14</t>
  </si>
  <si>
    <t>STA =7+165.81</t>
  </si>
  <si>
    <t>STA =7+321.67</t>
  </si>
  <si>
    <t>STA =7+740.55</t>
  </si>
  <si>
    <t>STA =7+784.17</t>
  </si>
  <si>
    <t>STA =7+969.76</t>
  </si>
  <si>
    <t>STA =8+579.20</t>
  </si>
  <si>
    <t>STA =8+773.48</t>
  </si>
  <si>
    <t>STA =9+121.64</t>
  </si>
  <si>
    <t>STA =9+551.41</t>
  </si>
  <si>
    <t>STA =9+654.69</t>
  </si>
  <si>
    <t>STA =9+885.65</t>
  </si>
  <si>
    <t>a2</t>
  </si>
  <si>
    <t>a2`</t>
  </si>
  <si>
    <t>a3</t>
  </si>
  <si>
    <t>a3`</t>
  </si>
  <si>
    <t>a1</t>
  </si>
  <si>
    <t>STA =0+835.08</t>
  </si>
  <si>
    <t>STA =4+068.50</t>
  </si>
  <si>
    <t>STA =5+409.20</t>
  </si>
  <si>
    <t>STA =6+011.49</t>
  </si>
  <si>
    <t>STA =6+735.53</t>
  </si>
  <si>
    <t>STA =7+481.16</t>
  </si>
  <si>
    <t>STA =8+140.03</t>
  </si>
  <si>
    <t>STA =8+222.86</t>
  </si>
  <si>
    <t>STA =9+220.49</t>
  </si>
  <si>
    <t>STA =10+623.51</t>
  </si>
  <si>
    <t>STA =11+486.55</t>
  </si>
  <si>
    <t>STA =11+636.81</t>
  </si>
  <si>
    <t>STA =98+213.00</t>
  </si>
  <si>
    <t>STA =98+760</t>
  </si>
  <si>
    <t>STA =98+850.00</t>
  </si>
  <si>
    <t>STA =100+030.00</t>
  </si>
  <si>
    <t>STA =100+429.00</t>
  </si>
  <si>
    <t>STA =101+120.00</t>
  </si>
  <si>
    <t>STA =101+492.00</t>
  </si>
  <si>
    <t>STA =101+570.00</t>
  </si>
  <si>
    <t>STA =101+800.00</t>
  </si>
  <si>
    <t>STA =102+110.00</t>
  </si>
  <si>
    <t>STA =102+930.00</t>
  </si>
  <si>
    <t>STA =103+380.00</t>
  </si>
  <si>
    <t>STA =103+700.00</t>
  </si>
  <si>
    <t>STA =105+001.00</t>
  </si>
  <si>
    <t>UKDIHHRL</t>
  </si>
  <si>
    <t>{\fGaramond|b0|i0|c0|p18;\LStation @ 0+505 Ahead }</t>
  </si>
  <si>
    <t>{\fGaramond|b0|i0|c0|p18;\LStation @ 0+510 Back}</t>
  </si>
  <si>
    <t>{\fGaramond|b0|i0|c0|p18;\LStation @ 0+510 Ahead}</t>
  </si>
  <si>
    <t>{\fGaramond|b0|i0|c0|p18;\LStation @ 0+515 Back}</t>
  </si>
  <si>
    <t xml:space="preserve">0+505 Ahead </t>
  </si>
  <si>
    <t>0+510 Back</t>
  </si>
  <si>
    <t>0+510 Ahead</t>
  </si>
  <si>
    <t>0+515 Back</t>
  </si>
  <si>
    <t>ord</t>
  </si>
  <si>
    <t>l</t>
  </si>
  <si>
    <t>ZLLZQVEM</t>
  </si>
  <si>
    <t>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</si>
</sst>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0.000"/>
    <numFmt numFmtId="165" formatCode="0.000_);[Red]\(0.000\)"/>
    <numFmt numFmtId="166" formatCode="&quot;LK_&quot;0\+000.000"/>
    <numFmt numFmtId="167" formatCode="0.00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9"/>
      <color indexed="10"/>
      <name val="Tahoma"/>
      <family val="2"/>
    </font>
    <font>
      <sz val="10"/>
      <color rgb="FF00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 tint="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FF"/>
      <name val="Calibri"/>
      <family val="2"/>
    </font>
    <font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109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164" fontId="0" fillId="0" borderId="1" xfId="0" applyNumberFormat="1" applyBorder="1"/>
    <xf numFmtId="0" fontId="0" fillId="0" borderId="1" xfId="0" applyFill="1" applyBorder="1"/>
    <xf numFmtId="0" fontId="0" fillId="0" borderId="0" xfId="0" applyFill="1"/>
    <xf numFmtId="0" fontId="1" fillId="0" borderId="1" xfId="0" applyFont="1" applyFill="1" applyBorder="1"/>
    <xf numFmtId="164" fontId="0" fillId="0" borderId="1" xfId="0" applyNumberFormat="1" applyFill="1" applyBorder="1"/>
    <xf numFmtId="0" fontId="3" fillId="0" borderId="0" xfId="0" applyFont="1" applyFill="1"/>
    <xf numFmtId="4" fontId="0" fillId="0" borderId="0" xfId="0" applyNumberFormat="1"/>
    <xf numFmtId="0" fontId="4" fillId="0" borderId="1" xfId="0" applyFont="1" applyFill="1" applyBorder="1" applyAlignment="1"/>
    <xf numFmtId="0" fontId="4" fillId="0" borderId="1" xfId="0" applyFont="1" applyFill="1" applyBorder="1"/>
    <xf numFmtId="4" fontId="0" fillId="0" borderId="1" xfId="0" applyNumberFormat="1" applyFill="1" applyBorder="1"/>
    <xf numFmtId="0" fontId="0" fillId="0" borderId="1" xfId="0" applyBorder="1" applyAlignment="1">
      <alignment horizontal="center" vertical="center"/>
    </xf>
    <xf numFmtId="0" fontId="1" fillId="0" borderId="0" xfId="0" applyFont="1"/>
    <xf numFmtId="0" fontId="7" fillId="3" borderId="0" xfId="0" applyFont="1" applyFill="1"/>
    <xf numFmtId="0" fontId="3" fillId="0" borderId="0" xfId="0" applyFont="1"/>
    <xf numFmtId="0" fontId="0" fillId="4" borderId="0" xfId="0" applyFill="1" applyBorder="1" applyAlignment="1">
      <alignment horizontal="right"/>
    </xf>
    <xf numFmtId="0" fontId="0" fillId="2" borderId="0" xfId="0" applyFill="1"/>
    <xf numFmtId="0" fontId="0" fillId="5" borderId="0" xfId="0" applyFill="1"/>
    <xf numFmtId="0" fontId="0" fillId="0" borderId="2" xfId="0" applyBorder="1"/>
    <xf numFmtId="0" fontId="0" fillId="0" borderId="4" xfId="0" applyBorder="1"/>
    <xf numFmtId="0" fontId="0" fillId="2" borderId="1" xfId="0" applyFill="1" applyBorder="1"/>
    <xf numFmtId="0" fontId="0" fillId="6" borderId="0" xfId="0" applyFill="1"/>
    <xf numFmtId="0" fontId="4" fillId="2" borderId="2" xfId="0" applyFont="1" applyFill="1" applyBorder="1"/>
    <xf numFmtId="0" fontId="4" fillId="2" borderId="4" xfId="0" applyFont="1" applyFill="1" applyBorder="1"/>
    <xf numFmtId="0" fontId="7" fillId="0" borderId="0" xfId="0" applyFont="1"/>
    <xf numFmtId="0" fontId="0" fillId="2" borderId="0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0" fontId="0" fillId="4" borderId="10" xfId="0" applyFill="1" applyBorder="1" applyAlignment="1">
      <alignment horizontal="right"/>
    </xf>
    <xf numFmtId="0" fontId="0" fillId="4" borderId="11" xfId="0" applyFill="1" applyBorder="1" applyAlignment="1">
      <alignment horizontal="right"/>
    </xf>
    <xf numFmtId="0" fontId="0" fillId="4" borderId="12" xfId="0" applyFill="1" applyBorder="1" applyAlignment="1">
      <alignment horizontal="right"/>
    </xf>
    <xf numFmtId="0" fontId="0" fillId="7" borderId="0" xfId="0" applyFill="1"/>
    <xf numFmtId="0" fontId="0" fillId="2" borderId="1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165" fontId="0" fillId="7" borderId="1" xfId="0" applyNumberFormat="1" applyFill="1" applyBorder="1" applyAlignment="1">
      <alignment horizontal="center" vertical="center"/>
    </xf>
    <xf numFmtId="0" fontId="0" fillId="0" borderId="2" xfId="0" applyFont="1" applyBorder="1"/>
    <xf numFmtId="0" fontId="0" fillId="0" borderId="4" xfId="0" applyFont="1" applyBorder="1"/>
    <xf numFmtId="0" fontId="10" fillId="0" borderId="0" xfId="0" applyFont="1"/>
    <xf numFmtId="0" fontId="11" fillId="3" borderId="1" xfId="1" applyFill="1" applyBorder="1"/>
    <xf numFmtId="0" fontId="0" fillId="8" borderId="1" xfId="0" applyFill="1" applyBorder="1"/>
    <xf numFmtId="0" fontId="0" fillId="9" borderId="1" xfId="0" applyFill="1" applyBorder="1"/>
    <xf numFmtId="0" fontId="7" fillId="0" borderId="1" xfId="0" applyFont="1" applyBorder="1"/>
    <xf numFmtId="0" fontId="0" fillId="0" borderId="13" xfId="0" applyBorder="1"/>
    <xf numFmtId="0" fontId="0" fillId="0" borderId="14" xfId="0" applyBorder="1"/>
    <xf numFmtId="0" fontId="0" fillId="4" borderId="0" xfId="0" applyFill="1" applyBorder="1"/>
    <xf numFmtId="0" fontId="0" fillId="0" borderId="0" xfId="0" applyFill="1" applyBorder="1"/>
    <xf numFmtId="0" fontId="13" fillId="9" borderId="1" xfId="0" applyFont="1" applyFill="1" applyBorder="1" applyAlignment="1">
      <alignment horizontal="center" vertical="center" wrapText="1"/>
    </xf>
    <xf numFmtId="43" fontId="1" fillId="3" borderId="1" xfId="0" applyNumberFormat="1" applyFont="1" applyFill="1" applyBorder="1" applyAlignment="1">
      <alignment vertical="center"/>
    </xf>
    <xf numFmtId="43" fontId="1" fillId="0" borderId="1" xfId="0" applyNumberFormat="1" applyFont="1" applyFill="1" applyBorder="1" applyAlignment="1">
      <alignment vertical="center"/>
    </xf>
    <xf numFmtId="0" fontId="0" fillId="0" borderId="9" xfId="0" applyFill="1" applyBorder="1"/>
    <xf numFmtId="0" fontId="13" fillId="0" borderId="1" xfId="0" applyFont="1" applyFill="1" applyBorder="1" applyAlignment="1">
      <alignment horizontal="center" vertical="center" wrapText="1"/>
    </xf>
    <xf numFmtId="0" fontId="11" fillId="3" borderId="1" xfId="1" applyFont="1" applyFill="1" applyBorder="1"/>
    <xf numFmtId="0" fontId="4" fillId="3" borderId="1" xfId="1" applyFont="1" applyFill="1" applyBorder="1" applyAlignment="1"/>
    <xf numFmtId="164" fontId="0" fillId="0" borderId="0" xfId="0" applyNumberFormat="1"/>
    <xf numFmtId="0" fontId="15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5" xfId="0" applyFill="1" applyBorder="1"/>
    <xf numFmtId="0" fontId="0" fillId="2" borderId="12" xfId="0" applyFill="1" applyBorder="1"/>
    <xf numFmtId="0" fontId="0" fillId="2" borderId="0" xfId="0" applyFill="1" applyBorder="1" applyAlignment="1"/>
    <xf numFmtId="0" fontId="0" fillId="2" borderId="9" xfId="0" applyFill="1" applyBorder="1" applyAlignment="1"/>
    <xf numFmtId="0" fontId="7" fillId="3" borderId="2" xfId="0" applyFont="1" applyFill="1" applyBorder="1"/>
    <xf numFmtId="0" fontId="0" fillId="3" borderId="4" xfId="0" applyFill="1" applyBorder="1"/>
    <xf numFmtId="0" fontId="0" fillId="2" borderId="14" xfId="0" applyFill="1" applyBorder="1"/>
    <xf numFmtId="167" fontId="0" fillId="0" borderId="0" xfId="0" applyNumberFormat="1"/>
    <xf numFmtId="0" fontId="0" fillId="9" borderId="13" xfId="0" applyFill="1" applyBorder="1"/>
    <xf numFmtId="0" fontId="0" fillId="9" borderId="14" xfId="0" applyFill="1" applyBorder="1"/>
    <xf numFmtId="0" fontId="4" fillId="0" borderId="1" xfId="0" applyFont="1" applyBorder="1"/>
    <xf numFmtId="0" fontId="14" fillId="12" borderId="2" xfId="0" applyFont="1" applyFill="1" applyBorder="1"/>
    <xf numFmtId="0" fontId="0" fillId="13" borderId="1" xfId="0" applyFill="1" applyBorder="1"/>
    <xf numFmtId="0" fontId="0" fillId="7" borderId="1" xfId="0" applyFill="1" applyBorder="1"/>
    <xf numFmtId="9" fontId="0" fillId="0" borderId="1" xfId="0" applyNumberFormat="1" applyFill="1" applyBorder="1"/>
    <xf numFmtId="10" fontId="0" fillId="0" borderId="1" xfId="0" applyNumberFormat="1" applyFill="1" applyBorder="1"/>
    <xf numFmtId="0" fontId="1" fillId="0" borderId="1" xfId="0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13" fillId="2" borderId="4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12" fillId="0" borderId="4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2">
    <cellStyle name="Normal" xfId="0" builtinId="0"/>
    <cellStyle name="Normal 6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2</xdr:row>
          <xdr:rowOff>57150</xdr:rowOff>
        </xdr:from>
        <xdr:to>
          <xdr:col>3</xdr:col>
          <xdr:colOff>95250</xdr:colOff>
          <xdr:row>4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pk_Length/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5</xdr:row>
          <xdr:rowOff>95250</xdr:rowOff>
        </xdr:from>
        <xdr:to>
          <xdr:col>3</xdr:col>
          <xdr:colOff>57150</xdr:colOff>
          <xdr:row>7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pk_text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</xdr:row>
          <xdr:rowOff>123825</xdr:rowOff>
        </xdr:from>
        <xdr:to>
          <xdr:col>3</xdr:col>
          <xdr:colOff>38100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Send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Coordinates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</xdr:row>
          <xdr:rowOff>57150</xdr:rowOff>
        </xdr:from>
        <xdr:to>
          <xdr:col>5</xdr:col>
          <xdr:colOff>200025</xdr:colOff>
          <xdr:row>4</xdr:row>
          <xdr:rowOff>152400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pk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Coordinates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5</xdr:row>
          <xdr:rowOff>95250</xdr:rowOff>
        </xdr:from>
        <xdr:to>
          <xdr:col>5</xdr:col>
          <xdr:colOff>247650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Slope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8</xdr:row>
          <xdr:rowOff>123825</xdr:rowOff>
        </xdr:from>
        <xdr:to>
          <xdr:col>5</xdr:col>
          <xdr:colOff>219075</xdr:colOff>
          <xdr:row>11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csv_Extract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2</xdr:row>
          <xdr:rowOff>57150</xdr:rowOff>
        </xdr:from>
        <xdr:to>
          <xdr:col>7</xdr:col>
          <xdr:colOff>285750</xdr:colOff>
          <xdr:row>4</xdr:row>
          <xdr:rowOff>133350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CAD2txt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Covert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5</xdr:row>
          <xdr:rowOff>95250</xdr:rowOff>
        </xdr:from>
        <xdr:to>
          <xdr:col>7</xdr:col>
          <xdr:colOff>342900</xdr:colOff>
          <xdr:row>7</xdr:row>
          <xdr:rowOff>180975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Select_REC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</a:rPr>
                <a:t>Inside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2</xdr:row>
          <xdr:rowOff>57150</xdr:rowOff>
        </xdr:from>
        <xdr:to>
          <xdr:col>9</xdr:col>
          <xdr:colOff>333375</xdr:colOff>
          <xdr:row>4</xdr:row>
          <xdr:rowOff>133350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Excav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Polyline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8</xdr:row>
          <xdr:rowOff>123825</xdr:rowOff>
        </xdr:from>
        <xdr:to>
          <xdr:col>7</xdr:col>
          <xdr:colOff>285750</xdr:colOff>
          <xdr:row>11</xdr:row>
          <xdr:rowOff>9525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Make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5</xdr:row>
          <xdr:rowOff>95250</xdr:rowOff>
        </xdr:from>
        <xdr:to>
          <xdr:col>9</xdr:col>
          <xdr:colOff>333375</xdr:colOff>
          <xdr:row>7</xdr:row>
          <xdr:rowOff>171450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Ms_RW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8</xdr:row>
          <xdr:rowOff>85725</xdr:rowOff>
        </xdr:from>
        <xdr:to>
          <xdr:col>9</xdr:col>
          <xdr:colOff>333375</xdr:colOff>
          <xdr:row>10</xdr:row>
          <xdr:rowOff>161925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</a:rPr>
                <a:t>RC_RW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11</xdr:row>
          <xdr:rowOff>123825</xdr:rowOff>
        </xdr:from>
        <xdr:to>
          <xdr:col>3</xdr:col>
          <xdr:colOff>38100</xdr:colOff>
          <xdr:row>14</xdr:row>
          <xdr:rowOff>9525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11</xdr:row>
          <xdr:rowOff>104775</xdr:rowOff>
        </xdr:from>
        <xdr:to>
          <xdr:col>5</xdr:col>
          <xdr:colOff>200025</xdr:colOff>
          <xdr:row>13</xdr:row>
          <xdr:rowOff>180975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11</xdr:row>
          <xdr:rowOff>133350</xdr:rowOff>
        </xdr:from>
        <xdr:to>
          <xdr:col>7</xdr:col>
          <xdr:colOff>276225</xdr:colOff>
          <xdr:row>14</xdr:row>
          <xdr:rowOff>19050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11</xdr:row>
          <xdr:rowOff>133350</xdr:rowOff>
        </xdr:from>
        <xdr:to>
          <xdr:col>9</xdr:col>
          <xdr:colOff>314325</xdr:colOff>
          <xdr:row>14</xdr:row>
          <xdr:rowOff>19050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14</xdr:row>
          <xdr:rowOff>114300</xdr:rowOff>
        </xdr:from>
        <xdr:to>
          <xdr:col>3</xdr:col>
          <xdr:colOff>38100</xdr:colOff>
          <xdr:row>17</xdr:row>
          <xdr:rowOff>0</xdr:rowOff>
        </xdr:to>
        <xdr:sp macro="" textlink="">
          <xdr:nvSpPr>
            <xdr:cNvPr id="9235" name="Button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15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2</xdr:row>
      <xdr:rowOff>0</xdr:rowOff>
    </xdr:from>
    <xdr:to>
      <xdr:col>12</xdr:col>
      <xdr:colOff>304800</xdr:colOff>
      <xdr:row>3</xdr:row>
      <xdr:rowOff>114300</xdr:rowOff>
    </xdr:to>
    <xdr:sp macro="" textlink="">
      <xdr:nvSpPr>
        <xdr:cNvPr id="9236" name="thumbnail" descr="https://i.ytimg.com/an_webp/Q5wdXytgRLI/mqdefault_6s.webp?du=3000&amp;sqp=CNiLx4IG&amp;rs=AOn4CLDQt31VYMXKR6mxUU0GiuCCbJR2ig"/>
        <xdr:cNvSpPr>
          <a:spLocks noChangeAspect="1" noChangeArrowheads="1"/>
        </xdr:cNvSpPr>
      </xdr:nvSpPr>
      <xdr:spPr bwMode="auto">
        <a:xfrm>
          <a:off x="71437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2</xdr:row>
          <xdr:rowOff>19050</xdr:rowOff>
        </xdr:from>
        <xdr:to>
          <xdr:col>11</xdr:col>
          <xdr:colOff>47625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pick_Line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4</xdr:row>
          <xdr:rowOff>142875</xdr:rowOff>
        </xdr:from>
        <xdr:to>
          <xdr:col>11</xdr:col>
          <xdr:colOff>57150</xdr:colOff>
          <xdr:row>6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7</xdr:row>
          <xdr:rowOff>38100</xdr:rowOff>
        </xdr:from>
        <xdr:to>
          <xdr:col>12</xdr:col>
          <xdr:colOff>400050</xdr:colOff>
          <xdr:row>9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133350</xdr:rowOff>
        </xdr:from>
        <xdr:to>
          <xdr:col>7</xdr:col>
          <xdr:colOff>361950</xdr:colOff>
          <xdr:row>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7</xdr:row>
          <xdr:rowOff>28575</xdr:rowOff>
        </xdr:from>
        <xdr:to>
          <xdr:col>11</xdr:col>
          <xdr:colOff>47625</xdr:colOff>
          <xdr:row>9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Copy_2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6</xdr:row>
          <xdr:rowOff>66675</xdr:rowOff>
        </xdr:from>
        <xdr:to>
          <xdr:col>6</xdr:col>
          <xdr:colOff>228600</xdr:colOff>
          <xdr:row>8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pick_Dim_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</xdr:row>
          <xdr:rowOff>9525</xdr:rowOff>
        </xdr:from>
        <xdr:to>
          <xdr:col>7</xdr:col>
          <xdr:colOff>219075</xdr:colOff>
          <xdr:row>5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pick_Area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200025</xdr:colOff>
          <xdr:row>9</xdr:row>
          <xdr:rowOff>57150</xdr:rowOff>
        </xdr:from>
        <xdr:to>
          <xdr:col>6</xdr:col>
          <xdr:colOff>381000</xdr:colOff>
          <xdr:row>11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Copy_2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</xdr:row>
          <xdr:rowOff>0</xdr:rowOff>
        </xdr:from>
        <xdr:to>
          <xdr:col>3</xdr:col>
          <xdr:colOff>304800</xdr:colOff>
          <xdr:row>3</xdr:row>
          <xdr:rowOff>95250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1</xdr:row>
          <xdr:rowOff>28575</xdr:rowOff>
        </xdr:from>
        <xdr:to>
          <xdr:col>5</xdr:col>
          <xdr:colOff>142875</xdr:colOff>
          <xdr:row>3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Contents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276226</xdr:colOff>
      <xdr:row>0</xdr:row>
      <xdr:rowOff>95251</xdr:rowOff>
    </xdr:from>
    <xdr:to>
      <xdr:col>1</xdr:col>
      <xdr:colOff>676276</xdr:colOff>
      <xdr:row>2</xdr:row>
      <xdr:rowOff>19051</xdr:rowOff>
    </xdr:to>
    <xdr:sp macro="[0]!move_up" textlink="">
      <xdr:nvSpPr>
        <xdr:cNvPr id="2" name="Isosceles Triangle 1"/>
        <xdr:cNvSpPr/>
      </xdr:nvSpPr>
      <xdr:spPr>
        <a:xfrm>
          <a:off x="1276351" y="95251"/>
          <a:ext cx="400050" cy="304800"/>
        </a:xfrm>
        <a:prstGeom prst="triangl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276224</xdr:colOff>
      <xdr:row>2</xdr:row>
      <xdr:rowOff>123825</xdr:rowOff>
    </xdr:from>
    <xdr:to>
      <xdr:col>1</xdr:col>
      <xdr:colOff>685800</xdr:colOff>
      <xdr:row>4</xdr:row>
      <xdr:rowOff>57149</xdr:rowOff>
    </xdr:to>
    <xdr:sp macro="[0]!move_down" textlink="">
      <xdr:nvSpPr>
        <xdr:cNvPr id="5" name="Isosceles Triangle 4"/>
        <xdr:cNvSpPr/>
      </xdr:nvSpPr>
      <xdr:spPr>
        <a:xfrm rot="10800000">
          <a:off x="1276349" y="504825"/>
          <a:ext cx="409576" cy="314324"/>
        </a:xfrm>
        <a:prstGeom prst="triangle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38100</xdr:rowOff>
        </xdr:from>
        <xdr:to>
          <xdr:col>6</xdr:col>
          <xdr:colOff>542925</xdr:colOff>
          <xdr:row>3</xdr:row>
          <xdr:rowOff>66675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copy_past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</xdr:row>
          <xdr:rowOff>0</xdr:rowOff>
        </xdr:from>
        <xdr:to>
          <xdr:col>3</xdr:col>
          <xdr:colOff>219075</xdr:colOff>
          <xdr:row>6</xdr:row>
          <xdr:rowOff>19050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0</xdr:row>
          <xdr:rowOff>133350</xdr:rowOff>
        </xdr:from>
        <xdr:to>
          <xdr:col>8</xdr:col>
          <xdr:colOff>504825</xdr:colOff>
          <xdr:row>2</xdr:row>
          <xdr:rowOff>28575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1</xdr:row>
          <xdr:rowOff>28575</xdr:rowOff>
        </xdr:from>
        <xdr:to>
          <xdr:col>4</xdr:col>
          <xdr:colOff>495300</xdr:colOff>
          <xdr:row>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0</xdr:row>
          <xdr:rowOff>85725</xdr:rowOff>
        </xdr:from>
        <xdr:to>
          <xdr:col>1</xdr:col>
          <xdr:colOff>657225</xdr:colOff>
          <xdr:row>1</xdr:row>
          <xdr:rowOff>161925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1</xdr:row>
          <xdr:rowOff>133350</xdr:rowOff>
        </xdr:from>
        <xdr:to>
          <xdr:col>4</xdr:col>
          <xdr:colOff>800100</xdr:colOff>
          <xdr:row>4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0</xdr:row>
          <xdr:rowOff>57150</xdr:rowOff>
        </xdr:from>
        <xdr:to>
          <xdr:col>8</xdr:col>
          <xdr:colOff>47625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2</xdr:row>
          <xdr:rowOff>47625</xdr:rowOff>
        </xdr:from>
        <xdr:to>
          <xdr:col>6</xdr:col>
          <xdr:colOff>514350</xdr:colOff>
          <xdr:row>6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133350</xdr:rowOff>
        </xdr:from>
        <xdr:to>
          <xdr:col>1</xdr:col>
          <xdr:colOff>600075</xdr:colOff>
          <xdr:row>2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3</xdr:row>
      <xdr:rowOff>47625</xdr:rowOff>
    </xdr:from>
    <xdr:to>
      <xdr:col>9</xdr:col>
      <xdr:colOff>38100</xdr:colOff>
      <xdr:row>7</xdr:row>
      <xdr:rowOff>19051</xdr:rowOff>
    </xdr:to>
    <xdr:sp macro="[0]!data" textlink="">
      <xdr:nvSpPr>
        <xdr:cNvPr id="2" name="Rectangle 1"/>
        <xdr:cNvSpPr/>
      </xdr:nvSpPr>
      <xdr:spPr>
        <a:xfrm>
          <a:off x="4533900" y="619125"/>
          <a:ext cx="1733550" cy="733426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>
              <a:latin typeface="Book Antiqua" pitchFamily="18" charset="0"/>
            </a:rPr>
            <a:t>DATA Extraction</a:t>
          </a:r>
        </a:p>
      </xdr:txBody>
    </xdr:sp>
    <xdr:clientData/>
  </xdr:twoCellAnchor>
  <xdr:twoCellAnchor>
    <xdr:from>
      <xdr:col>6</xdr:col>
      <xdr:colOff>123825</xdr:colOff>
      <xdr:row>8</xdr:row>
      <xdr:rowOff>9525</xdr:rowOff>
    </xdr:from>
    <xdr:to>
      <xdr:col>8</xdr:col>
      <xdr:colOff>600075</xdr:colOff>
      <xdr:row>12</xdr:row>
      <xdr:rowOff>57150</xdr:rowOff>
    </xdr:to>
    <xdr:sp macro="[0]!layer" textlink="">
      <xdr:nvSpPr>
        <xdr:cNvPr id="3" name="Rounded Rectangle 2"/>
        <xdr:cNvSpPr/>
      </xdr:nvSpPr>
      <xdr:spPr>
        <a:xfrm>
          <a:off x="4524375" y="1533525"/>
          <a:ext cx="1695450" cy="8096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>
              <a:latin typeface="Book Antiqua" pitchFamily="18" charset="0"/>
            </a:rPr>
            <a:t>Export</a:t>
          </a:r>
          <a:r>
            <a:rPr lang="en-US" sz="1600" baseline="0">
              <a:latin typeface="Book Antiqua" pitchFamily="18" charset="0"/>
            </a:rPr>
            <a:t> to</a:t>
          </a:r>
          <a:r>
            <a:rPr lang="en-US" sz="1600">
              <a:latin typeface="Book Antiqua" pitchFamily="18" charset="0"/>
            </a:rPr>
            <a:t> AutoCAD</a:t>
          </a:r>
        </a:p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12</xdr:row>
          <xdr:rowOff>161925</xdr:rowOff>
        </xdr:from>
        <xdr:to>
          <xdr:col>7</xdr:col>
          <xdr:colOff>561975</xdr:colOff>
          <xdr:row>14</xdr:row>
          <xdr:rowOff>57150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</xdr:row>
          <xdr:rowOff>133350</xdr:rowOff>
        </xdr:from>
        <xdr:to>
          <xdr:col>5</xdr:col>
          <xdr:colOff>695325</xdr:colOff>
          <xdr:row>6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convert_CAD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text to .txt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</xdr:row>
          <xdr:rowOff>133350</xdr:rowOff>
        </xdr:from>
        <xdr:to>
          <xdr:col>8</xdr:col>
          <xdr:colOff>390525</xdr:colOff>
          <xdr:row>3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3</xdr:row>
          <xdr:rowOff>57150</xdr:rowOff>
        </xdr:from>
        <xdr:to>
          <xdr:col>5</xdr:col>
          <xdr:colOff>123825</xdr:colOff>
          <xdr:row>7</xdr:row>
          <xdr:rowOff>57150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Select_REC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11</xdr:row>
          <xdr:rowOff>57150</xdr:rowOff>
        </xdr:from>
        <xdr:to>
          <xdr:col>6</xdr:col>
          <xdr:colOff>142875</xdr:colOff>
          <xdr:row>15</xdr:row>
          <xdr:rowOff>57150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Select_REC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Inside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0</xdr:row>
          <xdr:rowOff>133350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0</xdr:row>
          <xdr:rowOff>152400</xdr:rowOff>
        </xdr:from>
        <xdr:to>
          <xdr:col>4</xdr:col>
          <xdr:colOff>47625</xdr:colOff>
          <xdr:row>2</xdr:row>
          <xdr:rowOff>47625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</xdr:row>
          <xdr:rowOff>66675</xdr:rowOff>
        </xdr:from>
        <xdr:to>
          <xdr:col>5</xdr:col>
          <xdr:colOff>285750</xdr:colOff>
          <xdr:row>7</xdr:row>
          <xdr:rowOff>28575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523875</xdr:colOff>
          <xdr:row>1</xdr:row>
          <xdr:rowOff>9525</xdr:rowOff>
        </xdr:from>
        <xdr:to>
          <xdr:col>3</xdr:col>
          <xdr:colOff>495300</xdr:colOff>
          <xdr:row>6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Convert_2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_Table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257175</xdr:colOff>
          <xdr:row>1</xdr:row>
          <xdr:rowOff>133350</xdr:rowOff>
        </xdr:from>
        <xdr:to>
          <xdr:col>7</xdr:col>
          <xdr:colOff>600075</xdr:colOff>
          <xdr:row>3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171450</xdr:rowOff>
        </xdr:from>
        <xdr:to>
          <xdr:col>8</xdr:col>
          <xdr:colOff>542925</xdr:colOff>
          <xdr:row>2</xdr:row>
          <xdr:rowOff>66675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10</xdr:row>
          <xdr:rowOff>66675</xdr:rowOff>
        </xdr:from>
        <xdr:to>
          <xdr:col>2</xdr:col>
          <xdr:colOff>457200</xdr:colOff>
          <xdr:row>14</xdr:row>
          <xdr:rowOff>9525</xdr:rowOff>
        </xdr:to>
        <xdr:sp macro="" textlink="">
          <xdr:nvSpPr>
            <xdr:cNvPr id="20490" name="Button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23</xdr:row>
          <xdr:rowOff>28575</xdr:rowOff>
        </xdr:from>
        <xdr:to>
          <xdr:col>4</xdr:col>
          <xdr:colOff>228600</xdr:colOff>
          <xdr:row>24</xdr:row>
          <xdr:rowOff>142875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Draw_cut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1</xdr:row>
          <xdr:rowOff>95250</xdr:rowOff>
        </xdr:from>
        <xdr:to>
          <xdr:col>10</xdr:col>
          <xdr:colOff>171450</xdr:colOff>
          <xdr:row>3</xdr:row>
          <xdr:rowOff>95250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23</xdr:row>
          <xdr:rowOff>28575</xdr:rowOff>
        </xdr:from>
        <xdr:to>
          <xdr:col>11</xdr:col>
          <xdr:colOff>152400</xdr:colOff>
          <xdr:row>24</xdr:row>
          <xdr:rowOff>142875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Draw_fill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95250</xdr:rowOff>
        </xdr:from>
        <xdr:to>
          <xdr:col>8</xdr:col>
          <xdr:colOff>323850</xdr:colOff>
          <xdr:row>58</xdr:row>
          <xdr:rowOff>57150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Calc_Qty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Retaining_Wall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190500</xdr:rowOff>
        </xdr:from>
        <xdr:to>
          <xdr:col>4</xdr:col>
          <xdr:colOff>390525</xdr:colOff>
          <xdr:row>2</xdr:row>
          <xdr:rowOff>57150</xdr:rowOff>
        </xdr:to>
        <xdr:sp macro="" textlink="">
          <xdr:nvSpPr>
            <xdr:cNvPr id="21514" name="Button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rawMin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LB_CU"/>
      <sheetName val="BOX_CU"/>
      <sheetName val="PipeEnd_data"/>
      <sheetName val="Chk_dm"/>
      <sheetName val="ERA2013"/>
      <sheetName val="Sheet1"/>
    </sheetNames>
    <definedNames>
      <definedName name="go_to_Data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1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7" Type="http://schemas.openxmlformats.org/officeDocument/2006/relationships/ctrlProp" Target="../ctrlProps/ctrlProp3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3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4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L24"/>
  <sheetViews>
    <sheetView tabSelected="1" zoomScale="85" zoomScaleNormal="85" workbookViewId="0">
      <selection activeCell="F17" sqref="F17"/>
    </sheetView>
  </sheetViews>
  <sheetFormatPr defaultRowHeight="15" x14ac:dyDescent="0.25"/>
  <cols>
    <col min="1" max="1" width="6.5703125" customWidth="1"/>
    <col min="2" max="2" width="9.140625" customWidth="1"/>
  </cols>
  <sheetData>
    <row r="1" spans="1:12" x14ac:dyDescent="0.25">
      <c r="A1" s="27"/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x14ac:dyDescent="0.25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</row>
    <row r="3" spans="1:12" x14ac:dyDescent="0.25">
      <c r="A3" s="17"/>
      <c r="B3" s="28"/>
      <c r="C3" s="29"/>
      <c r="D3" s="29"/>
      <c r="E3" s="29"/>
      <c r="F3" s="29"/>
      <c r="G3" s="29"/>
      <c r="H3" s="29"/>
      <c r="I3" s="29"/>
      <c r="J3" s="30"/>
      <c r="K3" s="17"/>
      <c r="L3" s="17"/>
    </row>
    <row r="4" spans="1:12" x14ac:dyDescent="0.25">
      <c r="A4" s="17"/>
      <c r="B4" s="31"/>
      <c r="C4" s="17"/>
      <c r="D4" s="17"/>
      <c r="E4" s="17"/>
      <c r="F4" s="17"/>
      <c r="G4" s="17"/>
      <c r="H4" s="17"/>
      <c r="I4" s="17"/>
      <c r="J4" s="32"/>
      <c r="K4" s="17"/>
      <c r="L4" s="17"/>
    </row>
    <row r="5" spans="1:12" x14ac:dyDescent="0.25">
      <c r="A5" s="17"/>
      <c r="B5" s="31"/>
      <c r="C5" s="17"/>
      <c r="D5" s="17"/>
      <c r="E5" s="17"/>
      <c r="F5" s="17"/>
      <c r="G5" s="17"/>
      <c r="H5" s="17"/>
      <c r="I5" s="17"/>
      <c r="J5" s="32"/>
      <c r="K5" s="17"/>
      <c r="L5" s="17"/>
    </row>
    <row r="6" spans="1:12" x14ac:dyDescent="0.25">
      <c r="A6" s="17"/>
      <c r="B6" s="31"/>
      <c r="C6" s="17"/>
      <c r="D6" s="17"/>
      <c r="E6" s="17"/>
      <c r="F6" s="17"/>
      <c r="G6" s="17"/>
      <c r="H6" s="17"/>
      <c r="I6" s="17"/>
      <c r="J6" s="32"/>
      <c r="K6" s="17"/>
      <c r="L6" s="17"/>
    </row>
    <row r="7" spans="1:12" x14ac:dyDescent="0.25">
      <c r="A7" s="17"/>
      <c r="B7" s="31"/>
      <c r="C7" s="17"/>
      <c r="D7" s="17"/>
      <c r="E7" s="17"/>
      <c r="F7" s="17"/>
      <c r="G7" s="17"/>
      <c r="H7" s="17"/>
      <c r="I7" s="17"/>
      <c r="J7" s="32"/>
      <c r="K7" s="17"/>
      <c r="L7" s="17"/>
    </row>
    <row r="8" spans="1:12" x14ac:dyDescent="0.25">
      <c r="A8" s="17"/>
      <c r="B8" s="31"/>
      <c r="C8" s="17"/>
      <c r="D8" s="17"/>
      <c r="E8" s="17"/>
      <c r="F8" s="17"/>
      <c r="G8" s="17"/>
      <c r="H8" s="17"/>
      <c r="I8" s="17"/>
      <c r="J8" s="32"/>
      <c r="K8" s="17"/>
      <c r="L8" s="17"/>
    </row>
    <row r="9" spans="1:12" x14ac:dyDescent="0.25">
      <c r="A9" s="17"/>
      <c r="B9" s="31"/>
      <c r="C9" s="17"/>
      <c r="D9" s="17"/>
      <c r="E9" s="17"/>
      <c r="F9" s="17"/>
      <c r="G9" s="17"/>
      <c r="H9" s="17"/>
      <c r="I9" s="17"/>
      <c r="J9" s="32"/>
      <c r="K9" s="17"/>
      <c r="L9" s="17"/>
    </row>
    <row r="10" spans="1:12" x14ac:dyDescent="0.25">
      <c r="A10" s="17"/>
      <c r="B10" s="31"/>
      <c r="C10" s="17"/>
      <c r="D10" s="17"/>
      <c r="E10" s="17"/>
      <c r="F10" s="17"/>
      <c r="G10" s="17"/>
      <c r="H10" s="17"/>
      <c r="I10" s="17"/>
      <c r="J10" s="32"/>
      <c r="K10" s="17"/>
      <c r="L10" s="17"/>
    </row>
    <row r="11" spans="1:12" x14ac:dyDescent="0.25">
      <c r="A11" s="17"/>
      <c r="B11" s="31"/>
      <c r="C11" s="17"/>
      <c r="D11" s="17"/>
      <c r="E11" s="17"/>
      <c r="F11" s="17"/>
      <c r="G11" s="17"/>
      <c r="H11" s="17"/>
      <c r="I11" s="17"/>
      <c r="J11" s="32"/>
      <c r="K11" s="17"/>
      <c r="L11" s="17"/>
    </row>
    <row r="12" spans="1:12" x14ac:dyDescent="0.25">
      <c r="A12" s="17"/>
      <c r="B12" s="31"/>
      <c r="C12" s="17"/>
      <c r="D12" s="17"/>
      <c r="E12" s="17"/>
      <c r="F12" s="17"/>
      <c r="G12" s="17"/>
      <c r="H12" s="17"/>
      <c r="I12" s="17"/>
      <c r="J12" s="32"/>
      <c r="K12" s="17"/>
      <c r="L12" s="17"/>
    </row>
    <row r="13" spans="1:12" x14ac:dyDescent="0.25">
      <c r="A13" s="17"/>
      <c r="B13" s="31"/>
      <c r="C13" s="17"/>
      <c r="D13" s="17"/>
      <c r="E13" s="17"/>
      <c r="F13" s="17"/>
      <c r="G13" s="17"/>
      <c r="H13" s="17"/>
      <c r="I13" s="17"/>
      <c r="J13" s="32"/>
      <c r="K13" s="17"/>
      <c r="L13" s="17"/>
    </row>
    <row r="14" spans="1:12" x14ac:dyDescent="0.25">
      <c r="A14" s="17"/>
      <c r="B14" s="31"/>
      <c r="C14" s="17"/>
      <c r="D14" s="17"/>
      <c r="E14" s="17"/>
      <c r="F14" s="17"/>
      <c r="G14" s="17"/>
      <c r="H14" s="17"/>
      <c r="I14" s="17"/>
      <c r="J14" s="32"/>
      <c r="K14" s="17"/>
      <c r="L14" s="17"/>
    </row>
    <row r="15" spans="1:12" x14ac:dyDescent="0.25">
      <c r="A15" s="17"/>
      <c r="B15" s="31"/>
      <c r="C15" s="17"/>
      <c r="D15" s="17"/>
      <c r="E15" s="17"/>
      <c r="F15" s="17"/>
      <c r="G15" s="17"/>
      <c r="H15" s="17"/>
      <c r="I15" s="17"/>
      <c r="J15" s="32"/>
      <c r="K15" s="17"/>
      <c r="L15" s="17"/>
    </row>
    <row r="16" spans="1:12" x14ac:dyDescent="0.25">
      <c r="A16" s="17"/>
      <c r="B16" s="31"/>
      <c r="C16" s="17"/>
      <c r="D16" s="17"/>
      <c r="E16" s="17"/>
      <c r="F16" s="17"/>
      <c r="G16" s="17"/>
      <c r="H16" s="17"/>
      <c r="I16" s="17"/>
      <c r="J16" s="32"/>
      <c r="K16" s="17"/>
      <c r="L16" s="17"/>
    </row>
    <row r="17" spans="1:12" x14ac:dyDescent="0.25">
      <c r="A17" s="17"/>
      <c r="B17" s="31"/>
      <c r="C17" s="17"/>
      <c r="D17" s="17"/>
      <c r="E17" s="17"/>
      <c r="F17" s="17"/>
      <c r="G17" s="17"/>
      <c r="H17" s="17"/>
      <c r="I17" s="17"/>
      <c r="J17" s="32"/>
      <c r="K17" s="17"/>
      <c r="L17" s="17"/>
    </row>
    <row r="18" spans="1:12" x14ac:dyDescent="0.25">
      <c r="A18" s="17"/>
      <c r="B18" s="31"/>
      <c r="C18" s="17"/>
      <c r="D18" s="17"/>
      <c r="E18" s="17"/>
      <c r="F18" s="17"/>
      <c r="G18" s="17"/>
      <c r="H18" s="17"/>
      <c r="I18" s="17"/>
      <c r="J18" s="32"/>
      <c r="K18" s="17"/>
      <c r="L18" s="17"/>
    </row>
    <row r="19" spans="1:12" x14ac:dyDescent="0.25">
      <c r="A19" s="17"/>
      <c r="B19" s="33"/>
      <c r="C19" s="34"/>
      <c r="D19" s="34"/>
      <c r="E19" s="34"/>
      <c r="F19" s="34"/>
      <c r="G19" s="34"/>
      <c r="H19" s="34"/>
      <c r="I19" s="34"/>
      <c r="J19" s="35"/>
      <c r="K19" s="17"/>
      <c r="L19" s="17"/>
    </row>
    <row r="20" spans="1:12" x14ac:dyDescent="0.2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</row>
    <row r="21" spans="1:12" x14ac:dyDescent="0.2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</row>
    <row r="22" spans="1:12" x14ac:dyDescent="0.2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</row>
    <row r="23" spans="1:12" x14ac:dyDescent="0.25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</row>
    <row r="24" spans="1:12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otopk_Length">
                <anchor moveWithCells="1" sizeWithCells="1">
                  <from>
                    <xdr:col>1</xdr:col>
                    <xdr:colOff>219075</xdr:colOff>
                    <xdr:row>2</xdr:row>
                    <xdr:rowOff>57150</xdr:rowOff>
                  </from>
                  <to>
                    <xdr:col>3</xdr:col>
                    <xdr:colOff>95250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gotopk_Text">
                <anchor moveWithCells="1" sizeWithCells="1">
                  <from>
                    <xdr:col>1</xdr:col>
                    <xdr:colOff>219075</xdr:colOff>
                    <xdr:row>5</xdr:row>
                    <xdr:rowOff>95250</xdr:rowOff>
                  </from>
                  <to>
                    <xdr:col>3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gotoSend_Coordinates">
                <anchor moveWithCells="1" sizeWithCells="1">
                  <from>
                    <xdr:col>1</xdr:col>
                    <xdr:colOff>219075</xdr:colOff>
                    <xdr:row>8</xdr:row>
                    <xdr:rowOff>123825</xdr:rowOff>
                  </from>
                  <to>
                    <xdr:col>3</xdr:col>
                    <xdr:colOff>38100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gotopkCoordinates">
                <anchor moveWithCells="1" sizeWithCells="1">
                  <from>
                    <xdr:col>3</xdr:col>
                    <xdr:colOff>381000</xdr:colOff>
                    <xdr:row>2</xdr:row>
                    <xdr:rowOff>57150</xdr:rowOff>
                  </from>
                  <to>
                    <xdr:col>5</xdr:col>
                    <xdr:colOff>200025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goto_Slope">
                <anchor moveWithCells="1" sizeWithCells="1">
                  <from>
                    <xdr:col>3</xdr:col>
                    <xdr:colOff>381000</xdr:colOff>
                    <xdr:row>5</xdr:row>
                    <xdr:rowOff>95250</xdr:rowOff>
                  </from>
                  <to>
                    <xdr:col>5</xdr:col>
                    <xdr:colOff>247650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goto_csv_Extract">
                <anchor moveWithCells="1" sizeWithCells="1">
                  <from>
                    <xdr:col>3</xdr:col>
                    <xdr:colOff>381000</xdr:colOff>
                    <xdr:row>8</xdr:row>
                    <xdr:rowOff>123825</xdr:rowOff>
                  </from>
                  <to>
                    <xdr:col>5</xdr:col>
                    <xdr:colOff>219075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goto_CAD_txt">
                <anchor moveWithCells="1" sizeWithCells="1">
                  <from>
                    <xdr:col>5</xdr:col>
                    <xdr:colOff>466725</xdr:colOff>
                    <xdr:row>2</xdr:row>
                    <xdr:rowOff>57150</xdr:rowOff>
                  </from>
                  <to>
                    <xdr:col>7</xdr:col>
                    <xdr:colOff>285750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1" name="Button 10">
              <controlPr defaultSize="0" print="0" autoFill="0" autoPict="0" macro="[0]!goto_SelectRec_inside">
                <anchor moveWithCells="1" sizeWithCells="1">
                  <from>
                    <xdr:col>5</xdr:col>
                    <xdr:colOff>466725</xdr:colOff>
                    <xdr:row>5</xdr:row>
                    <xdr:rowOff>95250</xdr:rowOff>
                  </from>
                  <to>
                    <xdr:col>7</xdr:col>
                    <xdr:colOff>342900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2" name="Button 11">
              <controlPr defaultSize="0" print="0" autoFill="0" autoPict="0" macro="[0]!goto_ExcavPolyline">
                <anchor moveWithCells="1" sizeWithCells="1">
                  <from>
                    <xdr:col>7</xdr:col>
                    <xdr:colOff>495300</xdr:colOff>
                    <xdr:row>2</xdr:row>
                    <xdr:rowOff>57150</xdr:rowOff>
                  </from>
                  <to>
                    <xdr:col>9</xdr:col>
                    <xdr:colOff>333375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3" name="Button 12">
              <controlPr defaultSize="0" print="0" autoFill="0" autoPict="0" macro="[0]!goto_MakeTable">
                <anchor moveWithCells="1" sizeWithCells="1">
                  <from>
                    <xdr:col>5</xdr:col>
                    <xdr:colOff>466725</xdr:colOff>
                    <xdr:row>8</xdr:row>
                    <xdr:rowOff>123825</xdr:rowOff>
                  </from>
                  <to>
                    <xdr:col>7</xdr:col>
                    <xdr:colOff>285750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4" name="Button 13">
              <controlPr defaultSize="0" print="0" autoFill="0" autoPict="0" macro="[0]!gotoMS__RW">
                <anchor moveWithCells="1" sizeWithCells="1">
                  <from>
                    <xdr:col>7</xdr:col>
                    <xdr:colOff>495300</xdr:colOff>
                    <xdr:row>5</xdr:row>
                    <xdr:rowOff>95250</xdr:rowOff>
                  </from>
                  <to>
                    <xdr:col>9</xdr:col>
                    <xdr:colOff>333375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5" name="Button 14">
              <controlPr defaultSize="0" print="0" autoFill="0" autoPict="0" macro="[0]!gotoRCCCCC__RW">
                <anchor moveWithCells="1" sizeWithCells="1">
                  <from>
                    <xdr:col>7</xdr:col>
                    <xdr:colOff>495300</xdr:colOff>
                    <xdr:row>8</xdr:row>
                    <xdr:rowOff>85725</xdr:rowOff>
                  </from>
                  <to>
                    <xdr:col>9</xdr:col>
                    <xdr:colOff>333375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6" name="Button 15">
              <controlPr defaultSize="0" print="0" autoFill="0" autoPict="0">
                <anchor moveWithCells="1" sizeWithCells="1">
                  <from>
                    <xdr:col>1</xdr:col>
                    <xdr:colOff>219075</xdr:colOff>
                    <xdr:row>11</xdr:row>
                    <xdr:rowOff>123825</xdr:rowOff>
                  </from>
                  <to>
                    <xdr:col>3</xdr:col>
                    <xdr:colOff>38100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7" name="Button 16">
              <controlPr defaultSize="0" print="0" autoFill="0" autoPict="0">
                <anchor moveWithCells="1" sizeWithCells="1">
                  <from>
                    <xdr:col>3</xdr:col>
                    <xdr:colOff>381000</xdr:colOff>
                    <xdr:row>11</xdr:row>
                    <xdr:rowOff>104775</xdr:rowOff>
                  </from>
                  <to>
                    <xdr:col>5</xdr:col>
                    <xdr:colOff>200025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8" name="Button 17">
              <controlPr defaultSize="0" print="0" autoFill="0" autoPict="0">
                <anchor moveWithCells="1" sizeWithCells="1">
                  <from>
                    <xdr:col>5</xdr:col>
                    <xdr:colOff>466725</xdr:colOff>
                    <xdr:row>11</xdr:row>
                    <xdr:rowOff>133350</xdr:rowOff>
                  </from>
                  <to>
                    <xdr:col>7</xdr:col>
                    <xdr:colOff>276225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9" name="Button 18">
              <controlPr defaultSize="0" print="0" autoFill="0" autoPict="0">
                <anchor moveWithCells="1" sizeWithCells="1">
                  <from>
                    <xdr:col>7</xdr:col>
                    <xdr:colOff>495300</xdr:colOff>
                    <xdr:row>11</xdr:row>
                    <xdr:rowOff>133350</xdr:rowOff>
                  </from>
                  <to>
                    <xdr:col>9</xdr:col>
                    <xdr:colOff>314325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0" name="Button 19">
              <controlPr defaultSize="0" print="0" autoFill="0" autoPict="0">
                <anchor moveWithCells="1" sizeWithCells="1">
                  <from>
                    <xdr:col>1</xdr:col>
                    <xdr:colOff>219075</xdr:colOff>
                    <xdr:row>14</xdr:row>
                    <xdr:rowOff>114300</xdr:rowOff>
                  </from>
                  <to>
                    <xdr:col>3</xdr:col>
                    <xdr:colOff>38100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M264"/>
  <sheetViews>
    <sheetView topLeftCell="B1" zoomScale="85" zoomScaleNormal="85" workbookViewId="0">
      <pane xSplit="11295" topLeftCell="R1"/>
      <selection activeCell="C17" sqref="C17"/>
      <selection pane="topRight" activeCell="T24" sqref="T24"/>
    </sheetView>
  </sheetViews>
  <sheetFormatPr defaultRowHeight="15" x14ac:dyDescent="0.25"/>
  <cols>
    <col min="1" max="1" width="9.140625" style="1" customWidth="1"/>
    <col min="2" max="2" width="12.7109375" style="1" customWidth="1"/>
    <col min="3" max="3" width="12.7109375" customWidth="1"/>
    <col min="4" max="4" width="15.42578125" customWidth="1"/>
    <col min="452" max="452" width="15.5703125" bestFit="1" customWidth="1"/>
    <col min="455" max="455" width="15.5703125" bestFit="1" customWidth="1"/>
  </cols>
  <sheetData>
    <row r="1" spans="1:20" x14ac:dyDescent="0.25">
      <c r="A1"/>
      <c r="B1" t="str">
        <f ca="1">CHAR(RANDBETWEEN(67,90))&amp;CHAR(RANDBETWEEN(67,90))&amp;CHAR(RANDBETWEEN(67,90))&amp;CHAR(RANDBETWEEN(67,90))&amp;CHAR(RANDBETWEEN(67,90))&amp;CHAR(RANDBETWEEN(67,90))&amp;CHAR(RANDBETWEEN(67,90))&amp;CHAR(RANDBETWEEN(67,90))</f>
        <v>CMTFMVCY</v>
      </c>
      <c r="C1" t="s">
        <v>274</v>
      </c>
      <c r="D1" s="26" t="s">
        <v>138</v>
      </c>
      <c r="E1" s="75">
        <v>4</v>
      </c>
    </row>
    <row r="2" spans="1:20" x14ac:dyDescent="0.25">
      <c r="A2">
        <v>5</v>
      </c>
      <c r="B2"/>
      <c r="C2" s="26" t="s">
        <v>39</v>
      </c>
      <c r="D2" t="s">
        <v>24</v>
      </c>
      <c r="E2" t="s">
        <v>132</v>
      </c>
    </row>
    <row r="3" spans="1:20" x14ac:dyDescent="0.25">
      <c r="A3">
        <f>B5*0.4</f>
        <v>1.2664163265504158</v>
      </c>
      <c r="B3"/>
      <c r="C3">
        <v>3.4893345063595049</v>
      </c>
      <c r="D3" s="44" t="s">
        <v>250</v>
      </c>
      <c r="E3" t="s">
        <v>232</v>
      </c>
      <c r="J3">
        <v>49.136814681114629</v>
      </c>
      <c r="K3" s="44" t="s">
        <v>65</v>
      </c>
      <c r="S3" s="44" t="s">
        <v>139</v>
      </c>
      <c r="T3" t="s">
        <v>185</v>
      </c>
    </row>
    <row r="4" spans="1:20" x14ac:dyDescent="0.25">
      <c r="A4" s="2" t="s">
        <v>0</v>
      </c>
      <c r="B4" s="2">
        <v>612641.94724139886</v>
      </c>
      <c r="C4">
        <v>3.4507578952366842</v>
      </c>
      <c r="D4" s="44" t="s">
        <v>251</v>
      </c>
      <c r="E4" t="s">
        <v>233</v>
      </c>
      <c r="J4">
        <v>56.79480689810589</v>
      </c>
      <c r="K4" s="44" t="s">
        <v>66</v>
      </c>
      <c r="S4" s="44"/>
      <c r="T4" t="s">
        <v>185</v>
      </c>
    </row>
    <row r="5" spans="1:20" x14ac:dyDescent="0.25">
      <c r="A5" s="3"/>
      <c r="B5" s="3">
        <v>3.1660408163760394</v>
      </c>
      <c r="C5">
        <v>3.1326566221528793</v>
      </c>
      <c r="D5" s="44" t="s">
        <v>252</v>
      </c>
      <c r="E5" t="s">
        <v>234</v>
      </c>
      <c r="J5">
        <v>58.391251529101282</v>
      </c>
      <c r="K5" s="44" t="s">
        <v>67</v>
      </c>
      <c r="S5" s="44" t="s">
        <v>140</v>
      </c>
      <c r="T5" t="s">
        <v>185</v>
      </c>
    </row>
    <row r="6" spans="1:20" x14ac:dyDescent="0.25">
      <c r="A6" s="3"/>
      <c r="B6" s="3"/>
      <c r="C6">
        <v>3.4009202068916586</v>
      </c>
      <c r="D6" s="44" t="s">
        <v>254</v>
      </c>
      <c r="E6" t="s">
        <v>235</v>
      </c>
      <c r="J6">
        <v>61.465266831219196</v>
      </c>
      <c r="K6" s="44" t="s">
        <v>68</v>
      </c>
      <c r="S6" s="44"/>
      <c r="T6" t="s">
        <v>185</v>
      </c>
    </row>
    <row r="7" spans="1:20" x14ac:dyDescent="0.25">
      <c r="A7" s="3"/>
      <c r="B7" s="3"/>
      <c r="C7">
        <v>3.4263269212198431</v>
      </c>
      <c r="D7" s="44" t="s">
        <v>255</v>
      </c>
      <c r="E7" t="s">
        <v>236</v>
      </c>
      <c r="J7">
        <v>89.759468527045101</v>
      </c>
      <c r="K7" s="44" t="s">
        <v>69</v>
      </c>
      <c r="S7" s="44" t="s">
        <v>141</v>
      </c>
      <c r="T7" t="s">
        <v>185</v>
      </c>
    </row>
    <row r="8" spans="1:20" x14ac:dyDescent="0.25">
      <c r="A8" s="3"/>
      <c r="B8" s="3"/>
      <c r="C8">
        <v>3.5223755913177399</v>
      </c>
      <c r="D8" s="44" t="s">
        <v>256</v>
      </c>
      <c r="J8">
        <v>123.30355409532785</v>
      </c>
      <c r="K8" s="58" t="s">
        <v>70</v>
      </c>
      <c r="S8" s="44"/>
      <c r="T8" t="s">
        <v>185</v>
      </c>
    </row>
    <row r="9" spans="1:20" x14ac:dyDescent="0.25">
      <c r="A9" s="3"/>
      <c r="B9" s="3"/>
      <c r="C9">
        <v>3.4163269085626524</v>
      </c>
      <c r="D9" s="44" t="s">
        <v>257</v>
      </c>
      <c r="J9">
        <v>148.04844824364409</v>
      </c>
      <c r="K9" s="44" t="s">
        <v>71</v>
      </c>
      <c r="S9" s="44" t="s">
        <v>142</v>
      </c>
      <c r="T9" t="s">
        <v>185</v>
      </c>
    </row>
    <row r="10" spans="1:20" x14ac:dyDescent="0.25">
      <c r="A10" s="3"/>
      <c r="B10" s="3"/>
      <c r="C10">
        <v>3.1769436354699891</v>
      </c>
      <c r="D10" s="44" t="s">
        <v>259</v>
      </c>
      <c r="F10" t="s">
        <v>108</v>
      </c>
      <c r="J10">
        <v>156.21846435125917</v>
      </c>
      <c r="K10" s="44" t="s">
        <v>72</v>
      </c>
      <c r="S10" s="44" t="s">
        <v>143</v>
      </c>
      <c r="T10" t="s">
        <v>185</v>
      </c>
    </row>
    <row r="11" spans="1:20" x14ac:dyDescent="0.25">
      <c r="A11" s="3"/>
      <c r="B11" s="3"/>
      <c r="C11">
        <v>4.0733000000000175</v>
      </c>
      <c r="D11" s="44" t="s">
        <v>261</v>
      </c>
      <c r="F11" t="s">
        <v>109</v>
      </c>
      <c r="G11" t="s">
        <v>107</v>
      </c>
      <c r="J11">
        <v>163.37456172099337</v>
      </c>
      <c r="K11" s="44" t="s">
        <v>73</v>
      </c>
      <c r="S11" s="44" t="s">
        <v>144</v>
      </c>
      <c r="T11" t="s">
        <v>185</v>
      </c>
    </row>
    <row r="12" spans="1:20" x14ac:dyDescent="0.25">
      <c r="A12" s="3"/>
      <c r="B12" s="3"/>
      <c r="C12">
        <v>3.1660408163760394</v>
      </c>
      <c r="D12" s="44" t="s">
        <v>262</v>
      </c>
      <c r="F12" s="59">
        <v>2.8000000000000001E-2</v>
      </c>
      <c r="G12">
        <v>0.52100000000000002</v>
      </c>
      <c r="J12" t="e">
        <f>#REF!*10</f>
        <v>#REF!</v>
      </c>
      <c r="S12" s="44" t="s">
        <v>145</v>
      </c>
      <c r="T12" t="s">
        <v>185</v>
      </c>
    </row>
    <row r="13" spans="1:20" x14ac:dyDescent="0.25">
      <c r="A13" s="3"/>
      <c r="B13" s="3"/>
      <c r="F13" s="59">
        <v>3.2000000000000001E-2</v>
      </c>
      <c r="G13">
        <v>0.72799999999999998</v>
      </c>
      <c r="J13" t="e">
        <f>#REF!*10</f>
        <v>#REF!</v>
      </c>
      <c r="S13" s="44" t="s">
        <v>146</v>
      </c>
      <c r="T13" t="s">
        <v>185</v>
      </c>
    </row>
    <row r="14" spans="1:20" x14ac:dyDescent="0.25">
      <c r="A14" s="3"/>
      <c r="B14" s="3"/>
      <c r="F14" s="59">
        <v>3.2000000000000001E-2</v>
      </c>
      <c r="G14">
        <v>0.78300000000000003</v>
      </c>
      <c r="J14" t="e">
        <f>#REF!*10</f>
        <v>#REF!</v>
      </c>
      <c r="S14" s="44"/>
      <c r="T14" t="s">
        <v>185</v>
      </c>
    </row>
    <row r="15" spans="1:20" x14ac:dyDescent="0.25">
      <c r="A15" s="3"/>
      <c r="B15" s="3"/>
      <c r="F15" s="59">
        <v>3.1E-2</v>
      </c>
      <c r="G15">
        <v>0.52100000000000002</v>
      </c>
      <c r="J15" t="e">
        <f>#REF!*10</f>
        <v>#REF!</v>
      </c>
      <c r="S15" s="44" t="s">
        <v>147</v>
      </c>
      <c r="T15" t="s">
        <v>185</v>
      </c>
    </row>
    <row r="16" spans="1:20" x14ac:dyDescent="0.25">
      <c r="A16" s="3"/>
      <c r="B16" s="3"/>
      <c r="F16" s="59">
        <v>3.1E-2</v>
      </c>
      <c r="G16">
        <v>0.53600000000000003</v>
      </c>
      <c r="J16">
        <f t="shared" ref="J16:J27" si="0">E16*10</f>
        <v>0</v>
      </c>
      <c r="S16" s="44" t="s">
        <v>148</v>
      </c>
      <c r="T16" t="s">
        <v>185</v>
      </c>
    </row>
    <row r="17" spans="1:20" x14ac:dyDescent="0.25">
      <c r="A17" s="3"/>
      <c r="B17" s="3"/>
      <c r="F17" s="59">
        <v>3.3000000000000002E-2</v>
      </c>
      <c r="G17">
        <v>0.78100000000000003</v>
      </c>
      <c r="J17">
        <f t="shared" si="0"/>
        <v>0</v>
      </c>
      <c r="S17" s="44" t="s">
        <v>149</v>
      </c>
      <c r="T17" t="s">
        <v>185</v>
      </c>
    </row>
    <row r="18" spans="1:20" x14ac:dyDescent="0.25">
      <c r="A18" s="3"/>
      <c r="B18" s="3"/>
      <c r="E18" t="s">
        <v>197</v>
      </c>
      <c r="F18" s="59">
        <v>3.6999999999999998E-2</v>
      </c>
      <c r="G18">
        <v>0.72399999999999998</v>
      </c>
      <c r="J18" t="e">
        <f>#REF!*10</f>
        <v>#REF!</v>
      </c>
      <c r="S18" s="44" t="s">
        <v>150</v>
      </c>
      <c r="T18" t="s">
        <v>185</v>
      </c>
    </row>
    <row r="19" spans="1:20" x14ac:dyDescent="0.25">
      <c r="A19" s="3"/>
      <c r="B19" s="3"/>
      <c r="E19" t="s">
        <v>198</v>
      </c>
      <c r="F19" s="59">
        <v>3.9E-2</v>
      </c>
      <c r="G19">
        <v>0.84399999999999997</v>
      </c>
      <c r="H19" s="9"/>
      <c r="J19" t="e">
        <f>#REF!*10</f>
        <v>#REF!</v>
      </c>
      <c r="S19" s="44"/>
      <c r="T19" t="s">
        <v>185</v>
      </c>
    </row>
    <row r="20" spans="1:20" x14ac:dyDescent="0.25">
      <c r="A20" s="3"/>
      <c r="B20" s="3"/>
      <c r="F20" s="59">
        <v>4.1000000000000002E-2</v>
      </c>
      <c r="G20">
        <v>1.1200000000000001</v>
      </c>
      <c r="H20" s="9"/>
      <c r="J20">
        <f t="shared" si="0"/>
        <v>0</v>
      </c>
      <c r="S20" s="44" t="s">
        <v>151</v>
      </c>
      <c r="T20" t="s">
        <v>185</v>
      </c>
    </row>
    <row r="21" spans="1:20" x14ac:dyDescent="0.25">
      <c r="A21" s="3"/>
      <c r="B21" s="3"/>
      <c r="F21" s="59"/>
      <c r="J21">
        <f t="shared" si="0"/>
        <v>0</v>
      </c>
      <c r="S21" s="44" t="s">
        <v>152</v>
      </c>
      <c r="T21" t="s">
        <v>185</v>
      </c>
    </row>
    <row r="22" spans="1:20" x14ac:dyDescent="0.25">
      <c r="A22" s="3"/>
      <c r="B22" s="3"/>
      <c r="F22" s="26" t="s">
        <v>110</v>
      </c>
      <c r="H22" s="9"/>
      <c r="J22">
        <f t="shared" si="0"/>
        <v>0</v>
      </c>
      <c r="S22" s="44"/>
      <c r="T22" t="s">
        <v>185</v>
      </c>
    </row>
    <row r="23" spans="1:20" x14ac:dyDescent="0.25">
      <c r="A23" s="3"/>
      <c r="B23" s="3"/>
      <c r="F23" s="26" t="s">
        <v>111</v>
      </c>
      <c r="J23">
        <f t="shared" si="0"/>
        <v>0</v>
      </c>
      <c r="S23" s="44" t="s">
        <v>153</v>
      </c>
      <c r="T23" t="s">
        <v>185</v>
      </c>
    </row>
    <row r="24" spans="1:20" x14ac:dyDescent="0.25">
      <c r="A24" s="3"/>
      <c r="B24" s="3"/>
      <c r="F24" t="e">
        <f>INDEX(D3:D456,MATCH(MAX(E3:E17),E3:E17,0),0)</f>
        <v>#N/A</v>
      </c>
      <c r="J24">
        <f t="shared" si="0"/>
        <v>0</v>
      </c>
      <c r="S24" s="44" t="s">
        <v>154</v>
      </c>
      <c r="T24" t="s">
        <v>185</v>
      </c>
    </row>
    <row r="25" spans="1:20" x14ac:dyDescent="0.25">
      <c r="A25" s="3"/>
      <c r="B25" s="3"/>
      <c r="F25" t="e">
        <f>MATCH(MAX(E3:E17),E3:E17,0)</f>
        <v>#N/A</v>
      </c>
      <c r="J25">
        <f t="shared" si="0"/>
        <v>0</v>
      </c>
      <c r="S25" s="44" t="s">
        <v>155</v>
      </c>
      <c r="T25" t="s">
        <v>185</v>
      </c>
    </row>
    <row r="26" spans="1:20" x14ac:dyDescent="0.25">
      <c r="A26" s="3"/>
      <c r="B26" s="3"/>
      <c r="J26">
        <f t="shared" si="0"/>
        <v>0</v>
      </c>
      <c r="S26" s="44" t="s">
        <v>156</v>
      </c>
      <c r="T26" t="s">
        <v>185</v>
      </c>
    </row>
    <row r="27" spans="1:20" x14ac:dyDescent="0.25">
      <c r="A27" s="3"/>
      <c r="B27" s="3"/>
      <c r="J27">
        <f t="shared" si="0"/>
        <v>0</v>
      </c>
      <c r="S27" s="44" t="s">
        <v>157</v>
      </c>
      <c r="T27" t="s">
        <v>185</v>
      </c>
    </row>
    <row r="28" spans="1:20" x14ac:dyDescent="0.25">
      <c r="A28" s="3"/>
      <c r="B28" s="3"/>
      <c r="S28" s="44" t="s">
        <v>158</v>
      </c>
      <c r="T28" t="s">
        <v>185</v>
      </c>
    </row>
    <row r="29" spans="1:20" x14ac:dyDescent="0.25">
      <c r="A29" s="3"/>
      <c r="B29" s="3"/>
      <c r="S29" s="44"/>
      <c r="T29" t="s">
        <v>185</v>
      </c>
    </row>
    <row r="30" spans="1:20" x14ac:dyDescent="0.25">
      <c r="A30" s="3"/>
      <c r="B30" s="3"/>
      <c r="H30" s="9"/>
      <c r="S30" s="44" t="s">
        <v>159</v>
      </c>
    </row>
    <row r="31" spans="1:20" x14ac:dyDescent="0.25">
      <c r="A31" s="3"/>
      <c r="B31" s="3"/>
      <c r="S31" s="44"/>
    </row>
    <row r="32" spans="1:20" x14ac:dyDescent="0.25">
      <c r="A32" s="3"/>
      <c r="B32" s="3"/>
      <c r="S32" s="44" t="s">
        <v>160</v>
      </c>
    </row>
    <row r="33" spans="1:455" x14ac:dyDescent="0.25">
      <c r="A33" s="3"/>
      <c r="B33" s="3"/>
      <c r="S33" s="44"/>
      <c r="QJ33" s="44" t="s">
        <v>249</v>
      </c>
    </row>
    <row r="34" spans="1:455" x14ac:dyDescent="0.25">
      <c r="A34" s="3"/>
      <c r="B34" s="3"/>
      <c r="S34" s="44" t="s">
        <v>161</v>
      </c>
      <c r="QJ34" s="44" t="s">
        <v>250</v>
      </c>
      <c r="QK34" t="s">
        <v>273</v>
      </c>
      <c r="QM34" s="44" t="s">
        <v>250</v>
      </c>
    </row>
    <row r="35" spans="1:455" x14ac:dyDescent="0.25">
      <c r="A35" s="3"/>
      <c r="B35" s="3"/>
      <c r="S35" s="44"/>
      <c r="QJ35" s="44" t="s">
        <v>251</v>
      </c>
      <c r="QK35" t="s">
        <v>273</v>
      </c>
      <c r="QM35" s="44" t="s">
        <v>251</v>
      </c>
    </row>
    <row r="36" spans="1:455" x14ac:dyDescent="0.25">
      <c r="A36" s="3"/>
      <c r="B36" s="3"/>
      <c r="F36">
        <v>14.589999999999975</v>
      </c>
      <c r="H36" s="70">
        <f t="shared" ref="H36:H50" si="1">ROUND(F36,4)</f>
        <v>14.59</v>
      </c>
      <c r="J36">
        <v>14.59</v>
      </c>
      <c r="S36" s="44" t="s">
        <v>162</v>
      </c>
      <c r="QJ36" s="44" t="s">
        <v>252</v>
      </c>
      <c r="QK36" t="s">
        <v>273</v>
      </c>
      <c r="QM36" s="44" t="s">
        <v>252</v>
      </c>
    </row>
    <row r="37" spans="1:455" x14ac:dyDescent="0.25">
      <c r="A37" s="3"/>
      <c r="B37" s="3"/>
      <c r="F37">
        <v>14.589999999999975</v>
      </c>
      <c r="H37" s="70">
        <f t="shared" si="1"/>
        <v>14.59</v>
      </c>
      <c r="J37">
        <v>14.59</v>
      </c>
      <c r="S37" s="44"/>
      <c r="QJ37" s="44" t="s">
        <v>253</v>
      </c>
      <c r="QM37" s="44" t="s">
        <v>254</v>
      </c>
    </row>
    <row r="38" spans="1:455" x14ac:dyDescent="0.25">
      <c r="A38" s="3"/>
      <c r="B38" s="3"/>
      <c r="F38">
        <v>14.114207182792541</v>
      </c>
      <c r="H38" s="70">
        <f t="shared" si="1"/>
        <v>14.1142</v>
      </c>
      <c r="J38">
        <v>14.1142</v>
      </c>
      <c r="S38" s="44" t="s">
        <v>163</v>
      </c>
      <c r="QJ38" s="44" t="s">
        <v>254</v>
      </c>
      <c r="QK38" t="s">
        <v>273</v>
      </c>
      <c r="QM38" s="44" t="s">
        <v>255</v>
      </c>
    </row>
    <row r="39" spans="1:455" x14ac:dyDescent="0.25">
      <c r="A39" s="3"/>
      <c r="B39" s="3"/>
      <c r="F39">
        <v>14.114207182792541</v>
      </c>
      <c r="H39" s="70">
        <f t="shared" si="1"/>
        <v>14.1142</v>
      </c>
      <c r="J39">
        <v>14.1142</v>
      </c>
      <c r="S39" s="44"/>
      <c r="QJ39" s="44" t="s">
        <v>255</v>
      </c>
      <c r="QK39" t="s">
        <v>273</v>
      </c>
      <c r="QM39" s="44" t="s">
        <v>256</v>
      </c>
    </row>
    <row r="40" spans="1:455" x14ac:dyDescent="0.25">
      <c r="A40" s="3"/>
      <c r="B40" s="3"/>
      <c r="F40">
        <v>14.114207182792541</v>
      </c>
      <c r="H40" s="70">
        <f t="shared" si="1"/>
        <v>14.1142</v>
      </c>
      <c r="J40">
        <v>14.1142</v>
      </c>
      <c r="S40" s="44" t="s">
        <v>164</v>
      </c>
      <c r="QJ40" s="44" t="s">
        <v>256</v>
      </c>
      <c r="QK40" t="s">
        <v>273</v>
      </c>
      <c r="QM40" s="44" t="s">
        <v>257</v>
      </c>
    </row>
    <row r="41" spans="1:455" x14ac:dyDescent="0.25">
      <c r="B41" s="3"/>
      <c r="F41">
        <v>14.114207182792541</v>
      </c>
      <c r="H41" s="70">
        <f t="shared" si="1"/>
        <v>14.1142</v>
      </c>
      <c r="J41">
        <v>14.1142</v>
      </c>
      <c r="S41" s="44"/>
      <c r="QJ41" s="44" t="s">
        <v>257</v>
      </c>
      <c r="QK41" t="s">
        <v>273</v>
      </c>
      <c r="QM41" s="44" t="s">
        <v>259</v>
      </c>
    </row>
    <row r="42" spans="1:455" x14ac:dyDescent="0.25">
      <c r="B42" s="3"/>
      <c r="F42">
        <v>14.114207182792541</v>
      </c>
      <c r="H42" s="70">
        <f t="shared" si="1"/>
        <v>14.1142</v>
      </c>
      <c r="J42">
        <v>14.1142</v>
      </c>
      <c r="S42" s="44" t="s">
        <v>165</v>
      </c>
      <c r="QJ42" s="44" t="s">
        <v>258</v>
      </c>
      <c r="QM42" s="44" t="s">
        <v>261</v>
      </c>
    </row>
    <row r="43" spans="1:455" x14ac:dyDescent="0.25">
      <c r="B43" s="3"/>
      <c r="F43">
        <v>14.114207182792541</v>
      </c>
      <c r="H43" s="70">
        <f t="shared" si="1"/>
        <v>14.1142</v>
      </c>
      <c r="J43">
        <v>14.1142</v>
      </c>
      <c r="S43" s="44"/>
      <c r="QJ43" s="44" t="s">
        <v>259</v>
      </c>
      <c r="QK43" t="s">
        <v>273</v>
      </c>
      <c r="QM43" s="44" t="s">
        <v>262</v>
      </c>
    </row>
    <row r="44" spans="1:455" x14ac:dyDescent="0.25">
      <c r="B44" s="3"/>
      <c r="F44">
        <v>14.114207182792541</v>
      </c>
      <c r="H44" s="70">
        <f t="shared" si="1"/>
        <v>14.1142</v>
      </c>
      <c r="J44">
        <v>14.1142</v>
      </c>
      <c r="S44" s="44" t="s">
        <v>166</v>
      </c>
      <c r="QJ44" s="44" t="s">
        <v>260</v>
      </c>
    </row>
    <row r="45" spans="1:455" x14ac:dyDescent="0.25">
      <c r="B45" s="3"/>
      <c r="F45">
        <v>13.114207182792541</v>
      </c>
      <c r="H45" s="70">
        <f t="shared" si="1"/>
        <v>13.1142</v>
      </c>
      <c r="J45">
        <v>13.1142</v>
      </c>
      <c r="S45" s="44"/>
      <c r="QJ45" s="44" t="s">
        <v>261</v>
      </c>
      <c r="QK45" t="s">
        <v>273</v>
      </c>
    </row>
    <row r="46" spans="1:455" x14ac:dyDescent="0.25">
      <c r="B46" s="3"/>
      <c r="F46" s="26">
        <v>13.114207182792541</v>
      </c>
      <c r="H46" s="70">
        <f t="shared" si="1"/>
        <v>13.1142</v>
      </c>
      <c r="J46">
        <v>13.1142</v>
      </c>
      <c r="S46" s="44" t="s">
        <v>167</v>
      </c>
      <c r="QJ46" s="44" t="s">
        <v>262</v>
      </c>
      <c r="QK46" t="s">
        <v>273</v>
      </c>
    </row>
    <row r="47" spans="1:455" x14ac:dyDescent="0.25">
      <c r="B47" s="3"/>
      <c r="F47" s="26">
        <v>13.114207182792541</v>
      </c>
      <c r="H47" s="70">
        <f t="shared" si="1"/>
        <v>13.1142</v>
      </c>
      <c r="J47">
        <v>13.1142</v>
      </c>
      <c r="S47" s="44"/>
    </row>
    <row r="48" spans="1:455" x14ac:dyDescent="0.25">
      <c r="B48" s="3"/>
      <c r="F48" s="26">
        <v>13.114207182792541</v>
      </c>
      <c r="H48" s="70">
        <f t="shared" si="1"/>
        <v>13.1142</v>
      </c>
      <c r="J48">
        <v>13.1142</v>
      </c>
      <c r="S48" s="44" t="s">
        <v>168</v>
      </c>
    </row>
    <row r="49" spans="2:19" x14ac:dyDescent="0.25">
      <c r="B49" s="3"/>
      <c r="F49">
        <v>13.114207182792541</v>
      </c>
      <c r="H49" s="70">
        <f t="shared" si="1"/>
        <v>13.1142</v>
      </c>
      <c r="J49">
        <v>13.1142</v>
      </c>
      <c r="S49" s="44" t="s">
        <v>169</v>
      </c>
    </row>
    <row r="50" spans="2:19" x14ac:dyDescent="0.25">
      <c r="B50" s="3"/>
      <c r="F50">
        <v>13.114207182792541</v>
      </c>
      <c r="H50" s="70">
        <f t="shared" si="1"/>
        <v>13.1142</v>
      </c>
      <c r="J50">
        <v>13.1142</v>
      </c>
      <c r="S50" s="44" t="s">
        <v>170</v>
      </c>
    </row>
    <row r="51" spans="2:19" x14ac:dyDescent="0.25">
      <c r="B51" s="3"/>
      <c r="S51" s="44"/>
    </row>
    <row r="52" spans="2:19" x14ac:dyDescent="0.25">
      <c r="B52" s="3"/>
      <c r="S52" s="44" t="s">
        <v>171</v>
      </c>
    </row>
    <row r="53" spans="2:19" x14ac:dyDescent="0.25">
      <c r="S53" s="44"/>
    </row>
    <row r="54" spans="2:19" x14ac:dyDescent="0.25">
      <c r="S54" s="44" t="s">
        <v>172</v>
      </c>
    </row>
    <row r="55" spans="2:19" x14ac:dyDescent="0.25">
      <c r="S55" s="44"/>
    </row>
    <row r="56" spans="2:19" x14ac:dyDescent="0.25">
      <c r="S56" s="44" t="s">
        <v>173</v>
      </c>
    </row>
    <row r="57" spans="2:19" x14ac:dyDescent="0.25">
      <c r="S57" s="44" t="s">
        <v>174</v>
      </c>
    </row>
    <row r="58" spans="2:19" x14ac:dyDescent="0.25">
      <c r="S58" s="44"/>
    </row>
    <row r="59" spans="2:19" x14ac:dyDescent="0.25">
      <c r="S59" s="44" t="s">
        <v>175</v>
      </c>
    </row>
    <row r="60" spans="2:19" x14ac:dyDescent="0.25">
      <c r="S60" s="44"/>
    </row>
    <row r="61" spans="2:19" x14ac:dyDescent="0.25">
      <c r="S61" s="44" t="s">
        <v>176</v>
      </c>
    </row>
    <row r="62" spans="2:19" x14ac:dyDescent="0.25">
      <c r="S62" s="44"/>
    </row>
    <row r="63" spans="2:19" x14ac:dyDescent="0.25">
      <c r="S63" s="44" t="s">
        <v>177</v>
      </c>
    </row>
    <row r="64" spans="2:19" x14ac:dyDescent="0.25">
      <c r="S64" s="44"/>
    </row>
    <row r="65" spans="19:19" x14ac:dyDescent="0.25">
      <c r="S65" s="44" t="s">
        <v>178</v>
      </c>
    </row>
    <row r="66" spans="19:19" x14ac:dyDescent="0.25">
      <c r="S66" s="44" t="s">
        <v>179</v>
      </c>
    </row>
    <row r="67" spans="19:19" x14ac:dyDescent="0.25">
      <c r="S67" s="44" t="s">
        <v>180</v>
      </c>
    </row>
    <row r="68" spans="19:19" x14ac:dyDescent="0.25">
      <c r="S68" s="44" t="s">
        <v>181</v>
      </c>
    </row>
    <row r="69" spans="19:19" x14ac:dyDescent="0.25">
      <c r="S69" s="44" t="s">
        <v>182</v>
      </c>
    </row>
    <row r="70" spans="19:19" x14ac:dyDescent="0.25">
      <c r="S70" s="44"/>
    </row>
    <row r="71" spans="19:19" x14ac:dyDescent="0.25">
      <c r="S71" s="44" t="s">
        <v>183</v>
      </c>
    </row>
    <row r="72" spans="19:19" x14ac:dyDescent="0.25">
      <c r="S72" s="44" t="s">
        <v>184</v>
      </c>
    </row>
    <row r="83" spans="7:10" x14ac:dyDescent="0.25">
      <c r="I83">
        <v>1000</v>
      </c>
    </row>
    <row r="85" spans="7:10" x14ac:dyDescent="0.25">
      <c r="G85" t="s">
        <v>65</v>
      </c>
      <c r="H85">
        <v>325.05560302734375</v>
      </c>
      <c r="I85">
        <v>0.32505560302734376</v>
      </c>
      <c r="J85">
        <f t="shared" ref="J85:J93" si="2">ROUND(I85,3)</f>
        <v>0.32500000000000001</v>
      </c>
    </row>
    <row r="86" spans="7:10" x14ac:dyDescent="0.25">
      <c r="G86" t="s">
        <v>66</v>
      </c>
      <c r="H86">
        <v>442.20001220703125</v>
      </c>
      <c r="I86">
        <v>0.44220001220703126</v>
      </c>
      <c r="J86">
        <f t="shared" si="2"/>
        <v>0.442</v>
      </c>
    </row>
    <row r="87" spans="7:10" x14ac:dyDescent="0.25">
      <c r="G87" t="s">
        <v>67</v>
      </c>
      <c r="H87">
        <v>487.13018798828125</v>
      </c>
      <c r="I87">
        <v>0.48713018798828123</v>
      </c>
      <c r="J87">
        <f t="shared" si="2"/>
        <v>0.48699999999999999</v>
      </c>
    </row>
    <row r="88" spans="7:10" x14ac:dyDescent="0.25">
      <c r="G88" t="s">
        <v>68</v>
      </c>
      <c r="H88">
        <v>311.197998046875</v>
      </c>
      <c r="I88">
        <v>0.31119799804687498</v>
      </c>
      <c r="J88">
        <f t="shared" si="2"/>
        <v>0.311</v>
      </c>
    </row>
    <row r="89" spans="7:10" x14ac:dyDescent="0.25">
      <c r="G89" t="s">
        <v>69</v>
      </c>
      <c r="H89">
        <v>297.527587890625</v>
      </c>
      <c r="I89">
        <v>0.297527587890625</v>
      </c>
      <c r="J89">
        <f t="shared" si="2"/>
        <v>0.29799999999999999</v>
      </c>
    </row>
    <row r="90" spans="7:10" x14ac:dyDescent="0.25">
      <c r="G90" t="s">
        <v>70</v>
      </c>
      <c r="H90">
        <v>451.22784423828125</v>
      </c>
      <c r="I90">
        <v>0.45122784423828127</v>
      </c>
      <c r="J90">
        <f t="shared" si="2"/>
        <v>0.45100000000000001</v>
      </c>
    </row>
    <row r="91" spans="7:10" x14ac:dyDescent="0.25">
      <c r="G91" t="s">
        <v>71</v>
      </c>
      <c r="H91">
        <v>402.1258544921875</v>
      </c>
      <c r="I91">
        <v>0.40212585449218752</v>
      </c>
      <c r="J91">
        <f t="shared" si="2"/>
        <v>0.40200000000000002</v>
      </c>
    </row>
    <row r="92" spans="7:10" x14ac:dyDescent="0.25">
      <c r="G92" t="s">
        <v>72</v>
      </c>
      <c r="H92">
        <v>467.50079345703125</v>
      </c>
      <c r="I92">
        <v>0.46750079345703127</v>
      </c>
      <c r="J92">
        <f t="shared" si="2"/>
        <v>0.46800000000000003</v>
      </c>
    </row>
    <row r="93" spans="7:10" x14ac:dyDescent="0.25">
      <c r="G93" t="s">
        <v>73</v>
      </c>
      <c r="H93">
        <v>663.85260009765625</v>
      </c>
      <c r="I93">
        <v>0.66385260009765623</v>
      </c>
      <c r="J93">
        <f t="shared" si="2"/>
        <v>0.66400000000000003</v>
      </c>
    </row>
    <row r="98" spans="9:11" x14ac:dyDescent="0.25">
      <c r="I98" t="s">
        <v>117</v>
      </c>
      <c r="K98">
        <v>6.6032419670527815</v>
      </c>
    </row>
    <row r="99" spans="9:11" x14ac:dyDescent="0.25">
      <c r="I99" t="s">
        <v>118</v>
      </c>
      <c r="K99">
        <v>6.8924097148947112</v>
      </c>
    </row>
    <row r="100" spans="9:11" x14ac:dyDescent="0.25">
      <c r="I100" t="s">
        <v>119</v>
      </c>
      <c r="K100">
        <v>5.8894530381094228</v>
      </c>
    </row>
    <row r="101" spans="9:11" x14ac:dyDescent="0.25">
      <c r="I101" t="s">
        <v>120</v>
      </c>
      <c r="K101">
        <v>8.1738846065891266</v>
      </c>
    </row>
    <row r="102" spans="9:11" x14ac:dyDescent="0.25">
      <c r="I102" t="s">
        <v>121</v>
      </c>
      <c r="K102">
        <v>8.0728879917078302</v>
      </c>
    </row>
    <row r="103" spans="9:11" x14ac:dyDescent="0.25">
      <c r="I103" t="s">
        <v>122</v>
      </c>
      <c r="K103">
        <v>6.3358482683252078</v>
      </c>
    </row>
    <row r="104" spans="9:11" x14ac:dyDescent="0.25">
      <c r="I104" t="s">
        <v>123</v>
      </c>
      <c r="K104">
        <v>6.969370493673523</v>
      </c>
    </row>
    <row r="105" spans="9:11" x14ac:dyDescent="0.25">
      <c r="I105" t="s">
        <v>124</v>
      </c>
      <c r="K105">
        <v>8.5736692632635823</v>
      </c>
    </row>
    <row r="106" spans="9:11" x14ac:dyDescent="0.25">
      <c r="I106" t="s">
        <v>125</v>
      </c>
      <c r="K106">
        <v>10.720423770997513</v>
      </c>
    </row>
    <row r="107" spans="9:11" x14ac:dyDescent="0.25">
      <c r="I107" t="s">
        <v>126</v>
      </c>
      <c r="K107">
        <v>8.3059376355904533</v>
      </c>
    </row>
    <row r="108" spans="9:11" x14ac:dyDescent="0.25">
      <c r="I108" t="s">
        <v>127</v>
      </c>
      <c r="K108">
        <v>7.7398985698364413</v>
      </c>
    </row>
    <row r="109" spans="9:11" x14ac:dyDescent="0.25">
      <c r="I109" t="s">
        <v>128</v>
      </c>
      <c r="K109">
        <v>7.3110805812884792</v>
      </c>
    </row>
    <row r="110" spans="9:11" x14ac:dyDescent="0.25">
      <c r="I110" t="s">
        <v>129</v>
      </c>
      <c r="K110">
        <v>7.6662594290664856</v>
      </c>
    </row>
    <row r="111" spans="9:11" x14ac:dyDescent="0.25">
      <c r="I111" t="s">
        <v>130</v>
      </c>
      <c r="K111">
        <v>9.9727112143700651</v>
      </c>
    </row>
    <row r="112" spans="9:11" x14ac:dyDescent="0.25">
      <c r="I112" t="s">
        <v>131</v>
      </c>
      <c r="K112">
        <v>13.721998179591537</v>
      </c>
    </row>
    <row r="198" spans="4:4" x14ac:dyDescent="0.25">
      <c r="D198" s="44" t="s">
        <v>159</v>
      </c>
    </row>
    <row r="199" spans="4:4" x14ac:dyDescent="0.25">
      <c r="D199" s="44"/>
    </row>
    <row r="200" spans="4:4" x14ac:dyDescent="0.25">
      <c r="D200" s="44" t="s">
        <v>160</v>
      </c>
    </row>
    <row r="201" spans="4:4" x14ac:dyDescent="0.25">
      <c r="D201" s="44"/>
    </row>
    <row r="202" spans="4:4" x14ac:dyDescent="0.25">
      <c r="D202" s="44" t="s">
        <v>161</v>
      </c>
    </row>
    <row r="203" spans="4:4" x14ac:dyDescent="0.25">
      <c r="D203" s="44"/>
    </row>
    <row r="204" spans="4:4" x14ac:dyDescent="0.25">
      <c r="D204" s="44" t="s">
        <v>162</v>
      </c>
    </row>
    <row r="205" spans="4:4" x14ac:dyDescent="0.25">
      <c r="D205" s="44"/>
    </row>
    <row r="206" spans="4:4" x14ac:dyDescent="0.25">
      <c r="D206" s="44" t="s">
        <v>163</v>
      </c>
    </row>
    <row r="207" spans="4:4" x14ac:dyDescent="0.25">
      <c r="D207" s="44"/>
    </row>
    <row r="208" spans="4:4" x14ac:dyDescent="0.25">
      <c r="D208" s="44" t="s">
        <v>164</v>
      </c>
    </row>
    <row r="209" spans="4:4" x14ac:dyDescent="0.25">
      <c r="D209" s="44"/>
    </row>
    <row r="210" spans="4:4" x14ac:dyDescent="0.25">
      <c r="D210" s="44" t="s">
        <v>165</v>
      </c>
    </row>
    <row r="211" spans="4:4" x14ac:dyDescent="0.25">
      <c r="D211" s="44"/>
    </row>
    <row r="212" spans="4:4" x14ac:dyDescent="0.25">
      <c r="D212" s="44" t="s">
        <v>166</v>
      </c>
    </row>
    <row r="213" spans="4:4" x14ac:dyDescent="0.25">
      <c r="D213" s="44"/>
    </row>
    <row r="214" spans="4:4" x14ac:dyDescent="0.25">
      <c r="D214" s="44" t="s">
        <v>167</v>
      </c>
    </row>
    <row r="215" spans="4:4" x14ac:dyDescent="0.25">
      <c r="D215" s="44"/>
    </row>
    <row r="216" spans="4:4" x14ac:dyDescent="0.25">
      <c r="D216" s="44" t="s">
        <v>168</v>
      </c>
    </row>
    <row r="217" spans="4:4" x14ac:dyDescent="0.25">
      <c r="D217" s="44" t="s">
        <v>169</v>
      </c>
    </row>
    <row r="218" spans="4:4" x14ac:dyDescent="0.25">
      <c r="D218" s="44" t="s">
        <v>170</v>
      </c>
    </row>
    <row r="219" spans="4:4" x14ac:dyDescent="0.25">
      <c r="D219" s="44"/>
    </row>
    <row r="220" spans="4:4" x14ac:dyDescent="0.25">
      <c r="D220" s="44" t="s">
        <v>171</v>
      </c>
    </row>
    <row r="221" spans="4:4" x14ac:dyDescent="0.25">
      <c r="D221" s="44"/>
    </row>
    <row r="222" spans="4:4" x14ac:dyDescent="0.25">
      <c r="D222" s="44" t="s">
        <v>172</v>
      </c>
    </row>
    <row r="223" spans="4:4" x14ac:dyDescent="0.25">
      <c r="D223" s="44"/>
    </row>
    <row r="224" spans="4:4" x14ac:dyDescent="0.25">
      <c r="D224" s="44" t="s">
        <v>173</v>
      </c>
    </row>
    <row r="225" spans="4:4" x14ac:dyDescent="0.25">
      <c r="D225" s="44" t="s">
        <v>174</v>
      </c>
    </row>
    <row r="226" spans="4:4" x14ac:dyDescent="0.25">
      <c r="D226" s="44"/>
    </row>
    <row r="227" spans="4:4" x14ac:dyDescent="0.25">
      <c r="D227" s="44" t="s">
        <v>175</v>
      </c>
    </row>
    <row r="228" spans="4:4" x14ac:dyDescent="0.25">
      <c r="D228" s="44"/>
    </row>
    <row r="229" spans="4:4" x14ac:dyDescent="0.25">
      <c r="D229" s="44" t="s">
        <v>176</v>
      </c>
    </row>
    <row r="230" spans="4:4" x14ac:dyDescent="0.25">
      <c r="D230" s="44"/>
    </row>
    <row r="231" spans="4:4" x14ac:dyDescent="0.25">
      <c r="D231" s="44" t="s">
        <v>177</v>
      </c>
    </row>
    <row r="232" spans="4:4" x14ac:dyDescent="0.25">
      <c r="D232" s="44"/>
    </row>
    <row r="233" spans="4:4" x14ac:dyDescent="0.25">
      <c r="D233" s="44" t="s">
        <v>178</v>
      </c>
    </row>
    <row r="234" spans="4:4" x14ac:dyDescent="0.25">
      <c r="D234" s="44" t="s">
        <v>179</v>
      </c>
    </row>
    <row r="235" spans="4:4" x14ac:dyDescent="0.25">
      <c r="D235" s="44" t="s">
        <v>180</v>
      </c>
    </row>
    <row r="236" spans="4:4" x14ac:dyDescent="0.25">
      <c r="D236" s="44" t="s">
        <v>181</v>
      </c>
    </row>
    <row r="237" spans="4:4" x14ac:dyDescent="0.25">
      <c r="D237" s="44" t="s">
        <v>182</v>
      </c>
    </row>
    <row r="238" spans="4:4" x14ac:dyDescent="0.25">
      <c r="D238" s="44"/>
    </row>
    <row r="239" spans="4:4" x14ac:dyDescent="0.25">
      <c r="D239" s="44" t="s">
        <v>183</v>
      </c>
    </row>
    <row r="240" spans="4:4" x14ac:dyDescent="0.25">
      <c r="D240" s="44" t="s">
        <v>184</v>
      </c>
    </row>
    <row r="241" spans="4:4" x14ac:dyDescent="0.25">
      <c r="D241" s="44"/>
    </row>
    <row r="242" spans="4:4" x14ac:dyDescent="0.25">
      <c r="D242" s="44"/>
    </row>
    <row r="243" spans="4:4" x14ac:dyDescent="0.25">
      <c r="D243" s="44"/>
    </row>
    <row r="244" spans="4:4" x14ac:dyDescent="0.25">
      <c r="D244" s="44"/>
    </row>
    <row r="245" spans="4:4" x14ac:dyDescent="0.25">
      <c r="D245" s="44"/>
    </row>
    <row r="246" spans="4:4" x14ac:dyDescent="0.25">
      <c r="D246" s="44"/>
    </row>
    <row r="247" spans="4:4" x14ac:dyDescent="0.25">
      <c r="D247" s="44"/>
    </row>
    <row r="248" spans="4:4" x14ac:dyDescent="0.25">
      <c r="D248" s="44"/>
    </row>
    <row r="249" spans="4:4" x14ac:dyDescent="0.25">
      <c r="D249" s="44"/>
    </row>
    <row r="250" spans="4:4" x14ac:dyDescent="0.25">
      <c r="D250" s="44"/>
    </row>
    <row r="251" spans="4:4" x14ac:dyDescent="0.25">
      <c r="D251" s="44"/>
    </row>
    <row r="252" spans="4:4" x14ac:dyDescent="0.25">
      <c r="D252" s="44"/>
    </row>
    <row r="253" spans="4:4" x14ac:dyDescent="0.25">
      <c r="D253" s="44"/>
    </row>
    <row r="254" spans="4:4" x14ac:dyDescent="0.25">
      <c r="D254" s="44"/>
    </row>
    <row r="255" spans="4:4" x14ac:dyDescent="0.25">
      <c r="D255" s="44"/>
    </row>
    <row r="256" spans="4:4" x14ac:dyDescent="0.25">
      <c r="D256" s="44"/>
    </row>
    <row r="257" spans="4:4" x14ac:dyDescent="0.25">
      <c r="D257" s="44"/>
    </row>
    <row r="258" spans="4:4" x14ac:dyDescent="0.25">
      <c r="D258" s="44"/>
    </row>
    <row r="259" spans="4:4" x14ac:dyDescent="0.25">
      <c r="D259" s="44"/>
    </row>
    <row r="260" spans="4:4" x14ac:dyDescent="0.25">
      <c r="D260" s="44"/>
    </row>
    <row r="261" spans="4:4" x14ac:dyDescent="0.25">
      <c r="D261" s="44"/>
    </row>
    <row r="262" spans="4:4" x14ac:dyDescent="0.25">
      <c r="D262" s="44"/>
    </row>
    <row r="263" spans="4:4" x14ac:dyDescent="0.25">
      <c r="D263" s="44"/>
    </row>
    <row r="264" spans="4:4" x14ac:dyDescent="0.25">
      <c r="D264" s="44"/>
    </row>
  </sheetData>
  <autoFilter ref="QJ33:QK46"/>
  <sortState ref="F12:F21">
    <sortCondition ref="F12"/>
  </sortState>
  <dataValidations count="3">
    <dataValidation type="list" showInputMessage="1" showErrorMessage="1" sqref="A2">
      <formula1>"1,2,3,4,5,6,6,7,9,10,11,12,34"</formula1>
    </dataValidation>
    <dataValidation type="list" allowBlank="1" showInputMessage="1" showErrorMessage="1" sqref="E1">
      <formula1>"1,2,3,4"</formula1>
    </dataValidation>
    <dataValidation type="list" allowBlank="1" showInputMessage="1" showErrorMessage="1" sqref="C73:C80 E20:E72 E13:E17">
      <formula1>"RHS,LHS"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_distance">
                <anchor moveWithCells="1" sizeWithCells="1">
                  <from>
                    <xdr:col>8</xdr:col>
                    <xdr:colOff>476250</xdr:colOff>
                    <xdr:row>2</xdr:row>
                    <xdr:rowOff>19050</xdr:rowOff>
                  </from>
                  <to>
                    <xdr:col>11</xdr:col>
                    <xdr:colOff>47625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">
                <anchor moveWithCells="1" sizeWithCells="1">
                  <from>
                    <xdr:col>8</xdr:col>
                    <xdr:colOff>485775</xdr:colOff>
                    <xdr:row>4</xdr:row>
                    <xdr:rowOff>142875</xdr:rowOff>
                  </from>
                  <to>
                    <xdr:col>11</xdr:col>
                    <xdr:colOff>57150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opy_">
                <anchor moveWithCells="1" sizeWithCells="1">
                  <from>
                    <xdr:col>10</xdr:col>
                    <xdr:colOff>219075</xdr:colOff>
                    <xdr:row>7</xdr:row>
                    <xdr:rowOff>38100</xdr:rowOff>
                  </from>
                  <to>
                    <xdr:col>12</xdr:col>
                    <xdr:colOff>400050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otomain">
                <anchor moveWithCells="1" sizeWithCells="1">
                  <from>
                    <xdr:col>6</xdr:col>
                    <xdr:colOff>19050</xdr:colOff>
                    <xdr:row>0</xdr:row>
                    <xdr:rowOff>133350</xdr:rowOff>
                  </from>
                  <to>
                    <xdr:col>7</xdr:col>
                    <xdr:colOff>361950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pppppy">
                <anchor moveWithCells="1" sizeWithCells="1">
                  <from>
                    <xdr:col>8</xdr:col>
                    <xdr:colOff>476250</xdr:colOff>
                    <xdr:row>7</xdr:row>
                    <xdr:rowOff>28575</xdr:rowOff>
                  </from>
                  <to>
                    <xdr:col>11</xdr:col>
                    <xdr:colOff>47625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etDiiiiimnension">
                <anchor moveWithCells="1" sizeWithCells="1">
                  <from>
                    <xdr:col>4</xdr:col>
                    <xdr:colOff>47625</xdr:colOff>
                    <xdr:row>6</xdr:row>
                    <xdr:rowOff>66675</xdr:rowOff>
                  </from>
                  <to>
                    <xdr:col>6</xdr:col>
                    <xdr:colOff>228600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Get_area">
                <anchor moveWithCells="1" sizeWithCells="1">
                  <from>
                    <xdr:col>5</xdr:col>
                    <xdr:colOff>38100</xdr:colOff>
                    <xdr:row>3</xdr:row>
                    <xdr:rowOff>9525</xdr:rowOff>
                  </from>
                  <to>
                    <xdr:col>7</xdr:col>
                    <xdr:colOff>219075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copppppy">
                <anchor moveWithCells="1" sizeWithCells="1">
                  <from>
                    <xdr:col>4</xdr:col>
                    <xdr:colOff>200025</xdr:colOff>
                    <xdr:row>9</xdr:row>
                    <xdr:rowOff>57150</xdr:rowOff>
                  </from>
                  <to>
                    <xdr:col>6</xdr:col>
                    <xdr:colOff>381000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49"/>
  <sheetViews>
    <sheetView zoomScale="85" zoomScaleNormal="85" workbookViewId="0">
      <selection activeCell="A36" sqref="A36"/>
    </sheetView>
  </sheetViews>
  <sheetFormatPr defaultRowHeight="15" x14ac:dyDescent="0.25"/>
  <cols>
    <col min="1" max="1" width="15" style="4" bestFit="1" customWidth="1"/>
    <col min="2" max="2" width="15.42578125" style="4" customWidth="1"/>
    <col min="3" max="11" width="9.140625" style="5"/>
    <col min="12" max="12" width="15.140625" style="5" customWidth="1"/>
    <col min="13" max="16384" width="9.140625" style="5"/>
  </cols>
  <sheetData>
    <row r="1" spans="1:5" x14ac:dyDescent="0.25">
      <c r="A1" s="8" t="s">
        <v>2</v>
      </c>
      <c r="B1" s="5" t="str">
        <f ca="1">CHAR(RANDBETWEEN(67,90))&amp;CHAR(RANDBETWEEN(67,90))&amp;CHAR(RANDBETWEEN(67,90))&amp;CHAR(RANDBETWEEN(67,90))&amp;CHAR(RANDBETWEEN(67,90))&amp;CHAR(RANDBETWEEN(67,90))&amp;CHAR(RANDBETWEEN(67,90))&amp;CHAR(RANDBETWEEN(67,90))</f>
        <v>GWYYKZLE</v>
      </c>
      <c r="C1" s="8" t="s">
        <v>263</v>
      </c>
    </row>
    <row r="2" spans="1:5" x14ac:dyDescent="0.25">
      <c r="A2" s="5">
        <v>5</v>
      </c>
      <c r="B2" s="5"/>
    </row>
    <row r="3" spans="1:5" x14ac:dyDescent="0.25">
      <c r="A3" s="5"/>
      <c r="B3" s="5"/>
    </row>
    <row r="4" spans="1:5" x14ac:dyDescent="0.25">
      <c r="A4" s="6" t="s">
        <v>1</v>
      </c>
      <c r="B4" s="5"/>
      <c r="D4"/>
    </row>
    <row r="5" spans="1:5" x14ac:dyDescent="0.25">
      <c r="A5" s="77" t="s">
        <v>264</v>
      </c>
      <c r="B5" s="44" t="s">
        <v>199</v>
      </c>
      <c r="C5" t="s">
        <v>3</v>
      </c>
      <c r="D5"/>
    </row>
    <row r="6" spans="1:5" x14ac:dyDescent="0.25">
      <c r="A6" s="77" t="s">
        <v>265</v>
      </c>
      <c r="B6" s="44" t="s">
        <v>200</v>
      </c>
      <c r="C6" s="5" t="s">
        <v>4</v>
      </c>
      <c r="D6"/>
      <c r="E6" s="5">
        <v>1</v>
      </c>
    </row>
    <row r="7" spans="1:5" x14ac:dyDescent="0.25">
      <c r="A7" s="4" t="s">
        <v>266</v>
      </c>
      <c r="B7" s="44" t="s">
        <v>201</v>
      </c>
      <c r="C7" s="5" t="s">
        <v>5</v>
      </c>
      <c r="D7"/>
      <c r="E7" s="5">
        <v>1.5</v>
      </c>
    </row>
    <row r="8" spans="1:5" x14ac:dyDescent="0.25">
      <c r="A8" s="77" t="s">
        <v>267</v>
      </c>
      <c r="B8" s="44" t="s">
        <v>237</v>
      </c>
      <c r="C8" s="5" t="s">
        <v>6</v>
      </c>
      <c r="E8" s="5">
        <v>2</v>
      </c>
    </row>
    <row r="9" spans="1:5" ht="15.75" customHeight="1" x14ac:dyDescent="0.25">
      <c r="B9" s="44" t="s">
        <v>202</v>
      </c>
      <c r="C9" s="5" t="s">
        <v>7</v>
      </c>
      <c r="E9" s="5">
        <v>2.5</v>
      </c>
    </row>
    <row r="10" spans="1:5" x14ac:dyDescent="0.25">
      <c r="A10" s="77"/>
      <c r="B10" s="44" t="s">
        <v>203</v>
      </c>
      <c r="C10" s="5" t="s">
        <v>8</v>
      </c>
      <c r="E10" s="5">
        <v>3</v>
      </c>
    </row>
    <row r="11" spans="1:5" x14ac:dyDescent="0.25">
      <c r="B11" s="44" t="s">
        <v>204</v>
      </c>
      <c r="C11" s="5" t="s">
        <v>9</v>
      </c>
      <c r="E11" s="5">
        <v>3.5</v>
      </c>
    </row>
    <row r="12" spans="1:5" x14ac:dyDescent="0.25">
      <c r="A12" s="77"/>
      <c r="B12" s="44" t="s">
        <v>205</v>
      </c>
      <c r="C12" s="5" t="s">
        <v>10</v>
      </c>
      <c r="E12" s="5">
        <v>4</v>
      </c>
    </row>
    <row r="13" spans="1:5" x14ac:dyDescent="0.25">
      <c r="B13" s="44" t="s">
        <v>207</v>
      </c>
      <c r="C13" s="5" t="s">
        <v>11</v>
      </c>
      <c r="E13" s="5">
        <v>4.5</v>
      </c>
    </row>
    <row r="14" spans="1:5" x14ac:dyDescent="0.25">
      <c r="A14" s="77"/>
      <c r="B14" s="44" t="s">
        <v>208</v>
      </c>
      <c r="C14" s="5" t="s">
        <v>12</v>
      </c>
      <c r="E14" s="5">
        <v>5</v>
      </c>
    </row>
    <row r="15" spans="1:5" x14ac:dyDescent="0.25">
      <c r="B15" s="44" t="s">
        <v>209</v>
      </c>
      <c r="C15" s="5" t="s">
        <v>13</v>
      </c>
      <c r="E15" s="5">
        <v>6</v>
      </c>
    </row>
    <row r="16" spans="1:5" x14ac:dyDescent="0.25">
      <c r="A16" s="12"/>
      <c r="B16" s="44" t="s">
        <v>210</v>
      </c>
      <c r="C16" s="5" t="s">
        <v>14</v>
      </c>
    </row>
    <row r="17" spans="1:13" x14ac:dyDescent="0.25">
      <c r="A17" s="12"/>
      <c r="B17" s="44" t="s">
        <v>238</v>
      </c>
      <c r="C17" s="5" t="s">
        <v>15</v>
      </c>
    </row>
    <row r="18" spans="1:13" x14ac:dyDescent="0.25">
      <c r="A18" s="12"/>
      <c r="B18" s="44" t="s">
        <v>211</v>
      </c>
      <c r="C18" s="5" t="s">
        <v>16</v>
      </c>
    </row>
    <row r="19" spans="1:13" x14ac:dyDescent="0.25">
      <c r="A19" s="12"/>
      <c r="B19" s="44" t="s">
        <v>212</v>
      </c>
      <c r="C19" s="5" t="s">
        <v>17</v>
      </c>
    </row>
    <row r="20" spans="1:13" x14ac:dyDescent="0.25">
      <c r="A20" s="12"/>
      <c r="B20" s="44" t="s">
        <v>213</v>
      </c>
      <c r="C20" s="5">
        <v>9.5</v>
      </c>
    </row>
    <row r="21" spans="1:13" x14ac:dyDescent="0.25">
      <c r="A21" s="12"/>
      <c r="B21" s="44" t="s">
        <v>214</v>
      </c>
      <c r="C21" s="5" t="s">
        <v>50</v>
      </c>
    </row>
    <row r="22" spans="1:13" x14ac:dyDescent="0.25">
      <c r="A22" s="12"/>
      <c r="B22" s="44" t="s">
        <v>215</v>
      </c>
    </row>
    <row r="23" spans="1:13" x14ac:dyDescent="0.25">
      <c r="A23" s="12"/>
      <c r="B23" s="44" t="s">
        <v>216</v>
      </c>
    </row>
    <row r="24" spans="1:13" x14ac:dyDescent="0.25">
      <c r="A24" s="12"/>
      <c r="B24" s="44" t="s">
        <v>217</v>
      </c>
    </row>
    <row r="25" spans="1:13" x14ac:dyDescent="0.25">
      <c r="A25" s="12"/>
      <c r="B25" s="44" t="s">
        <v>218</v>
      </c>
    </row>
    <row r="26" spans="1:13" x14ac:dyDescent="0.25">
      <c r="A26" s="77"/>
      <c r="B26" s="44" t="s">
        <v>219</v>
      </c>
      <c r="H26" s="77"/>
      <c r="I26" s="5" t="s">
        <v>268</v>
      </c>
    </row>
    <row r="27" spans="1:13" x14ac:dyDescent="0.25">
      <c r="B27" s="44" t="s">
        <v>239</v>
      </c>
      <c r="H27" s="77"/>
      <c r="I27" s="5" t="s">
        <v>269</v>
      </c>
    </row>
    <row r="28" spans="1:13" x14ac:dyDescent="0.25">
      <c r="A28" s="77"/>
      <c r="B28" s="44" t="s">
        <v>220</v>
      </c>
      <c r="H28" s="4"/>
      <c r="I28" s="5" t="s">
        <v>270</v>
      </c>
      <c r="L28" s="44" t="s">
        <v>250</v>
      </c>
      <c r="M28" t="s">
        <v>273</v>
      </c>
    </row>
    <row r="29" spans="1:13" x14ac:dyDescent="0.25">
      <c r="B29" s="44" t="s">
        <v>240</v>
      </c>
      <c r="H29" s="77"/>
      <c r="I29" s="5" t="s">
        <v>271</v>
      </c>
      <c r="L29" s="44" t="s">
        <v>251</v>
      </c>
      <c r="M29" t="s">
        <v>273</v>
      </c>
    </row>
    <row r="30" spans="1:13" x14ac:dyDescent="0.25">
      <c r="A30" s="77"/>
      <c r="B30" s="44" t="s">
        <v>241</v>
      </c>
      <c r="L30" s="44" t="s">
        <v>252</v>
      </c>
      <c r="M30" t="s">
        <v>273</v>
      </c>
    </row>
    <row r="31" spans="1:13" x14ac:dyDescent="0.25">
      <c r="B31" s="44" t="s">
        <v>221</v>
      </c>
      <c r="L31" s="44" t="s">
        <v>254</v>
      </c>
      <c r="M31" t="s">
        <v>273</v>
      </c>
    </row>
    <row r="32" spans="1:13" x14ac:dyDescent="0.25">
      <c r="A32" s="77"/>
      <c r="B32" s="44" t="s">
        <v>222</v>
      </c>
      <c r="L32" s="44" t="s">
        <v>255</v>
      </c>
      <c r="M32" t="s">
        <v>273</v>
      </c>
    </row>
    <row r="33" spans="1:13" x14ac:dyDescent="0.25">
      <c r="B33" s="44" t="s">
        <v>242</v>
      </c>
      <c r="L33" s="44" t="s">
        <v>256</v>
      </c>
      <c r="M33" t="s">
        <v>273</v>
      </c>
    </row>
    <row r="34" spans="1:13" x14ac:dyDescent="0.25">
      <c r="A34" s="77"/>
      <c r="B34" s="44" t="s">
        <v>223</v>
      </c>
      <c r="L34" s="44" t="s">
        <v>257</v>
      </c>
      <c r="M34" t="s">
        <v>273</v>
      </c>
    </row>
    <row r="35" spans="1:13" x14ac:dyDescent="0.25">
      <c r="B35" s="44" t="s">
        <v>224</v>
      </c>
      <c r="L35" s="44" t="s">
        <v>259</v>
      </c>
      <c r="M35" t="s">
        <v>273</v>
      </c>
    </row>
    <row r="36" spans="1:13" x14ac:dyDescent="0.25">
      <c r="A36" s="77"/>
      <c r="B36" s="44" t="s">
        <v>225</v>
      </c>
      <c r="L36" s="44" t="s">
        <v>261</v>
      </c>
      <c r="M36" t="s">
        <v>273</v>
      </c>
    </row>
    <row r="37" spans="1:13" x14ac:dyDescent="0.25">
      <c r="B37" s="44" t="s">
        <v>243</v>
      </c>
      <c r="E37" s="5" t="s">
        <v>25</v>
      </c>
      <c r="L37" s="44" t="s">
        <v>262</v>
      </c>
      <c r="M37" t="s">
        <v>273</v>
      </c>
    </row>
    <row r="38" spans="1:13" x14ac:dyDescent="0.25">
      <c r="A38" s="77"/>
      <c r="B38" s="44" t="s">
        <v>244</v>
      </c>
    </row>
    <row r="39" spans="1:13" x14ac:dyDescent="0.25">
      <c r="B39" s="44" t="s">
        <v>226</v>
      </c>
    </row>
    <row r="40" spans="1:13" x14ac:dyDescent="0.25">
      <c r="A40" s="77"/>
      <c r="B40" s="44" t="s">
        <v>227</v>
      </c>
    </row>
    <row r="41" spans="1:13" x14ac:dyDescent="0.25">
      <c r="B41" s="44" t="s">
        <v>228</v>
      </c>
    </row>
    <row r="42" spans="1:13" x14ac:dyDescent="0.25">
      <c r="A42" s="77"/>
      <c r="B42" s="44" t="s">
        <v>245</v>
      </c>
    </row>
    <row r="43" spans="1:13" x14ac:dyDescent="0.25">
      <c r="B43" s="44" t="s">
        <v>229</v>
      </c>
    </row>
    <row r="44" spans="1:13" x14ac:dyDescent="0.25">
      <c r="A44" s="77"/>
      <c r="B44" s="44" t="s">
        <v>230</v>
      </c>
    </row>
    <row r="45" spans="1:13" x14ac:dyDescent="0.25">
      <c r="B45" s="44" t="s">
        <v>231</v>
      </c>
    </row>
    <row r="46" spans="1:13" x14ac:dyDescent="0.25">
      <c r="A46" s="77"/>
      <c r="B46" s="44" t="s">
        <v>246</v>
      </c>
    </row>
    <row r="47" spans="1:13" x14ac:dyDescent="0.25">
      <c r="B47" s="44" t="s">
        <v>247</v>
      </c>
    </row>
    <row r="48" spans="1:13" x14ac:dyDescent="0.25">
      <c r="A48" s="77"/>
      <c r="B48" s="44" t="s">
        <v>248</v>
      </c>
    </row>
    <row r="49" spans="1:2" x14ac:dyDescent="0.25">
      <c r="B49" s="44" t="s">
        <v>206</v>
      </c>
    </row>
    <row r="50" spans="1:2" x14ac:dyDescent="0.25">
      <c r="A50" s="77"/>
      <c r="B50" s="5"/>
    </row>
    <row r="51" spans="1:2" x14ac:dyDescent="0.25">
      <c r="B51" s="5"/>
    </row>
    <row r="52" spans="1:2" x14ac:dyDescent="0.25">
      <c r="A52" s="77"/>
      <c r="B52" s="5"/>
    </row>
    <row r="53" spans="1:2" x14ac:dyDescent="0.25">
      <c r="B53" s="5"/>
    </row>
    <row r="54" spans="1:2" x14ac:dyDescent="0.25">
      <c r="A54" s="78"/>
      <c r="B54" s="5"/>
    </row>
    <row r="55" spans="1:2" x14ac:dyDescent="0.25">
      <c r="B55" s="5"/>
    </row>
    <row r="56" spans="1:2" x14ac:dyDescent="0.25">
      <c r="A56" s="77"/>
      <c r="B56" s="5"/>
    </row>
    <row r="57" spans="1:2" x14ac:dyDescent="0.25">
      <c r="B57" s="5"/>
    </row>
    <row r="58" spans="1:2" x14ac:dyDescent="0.25">
      <c r="A58" s="77"/>
      <c r="B58" s="5"/>
    </row>
    <row r="59" spans="1:2" x14ac:dyDescent="0.25">
      <c r="B59" s="5"/>
    </row>
    <row r="60" spans="1:2" x14ac:dyDescent="0.25">
      <c r="A60" s="77"/>
      <c r="B60" s="5"/>
    </row>
    <row r="61" spans="1:2" x14ac:dyDescent="0.25">
      <c r="B61" s="5"/>
    </row>
    <row r="62" spans="1:2" x14ac:dyDescent="0.25">
      <c r="A62" s="77"/>
      <c r="B62" s="5"/>
    </row>
    <row r="63" spans="1:2" x14ac:dyDescent="0.25">
      <c r="B63" s="5"/>
    </row>
    <row r="64" spans="1:2" x14ac:dyDescent="0.25">
      <c r="A64" s="77"/>
      <c r="B64" s="5"/>
    </row>
    <row r="65" spans="1:2" x14ac:dyDescent="0.25">
      <c r="B65" s="5"/>
    </row>
    <row r="66" spans="1:2" x14ac:dyDescent="0.25">
      <c r="A66" s="77"/>
      <c r="B66" s="5"/>
    </row>
    <row r="67" spans="1:2" x14ac:dyDescent="0.25">
      <c r="B67" s="5"/>
    </row>
    <row r="68" spans="1:2" x14ac:dyDescent="0.25">
      <c r="A68" s="77"/>
      <c r="B68" s="5"/>
    </row>
    <row r="69" spans="1:2" x14ac:dyDescent="0.25">
      <c r="B69" s="5"/>
    </row>
    <row r="70" spans="1:2" x14ac:dyDescent="0.25">
      <c r="A70" s="77"/>
      <c r="B70" s="5"/>
    </row>
    <row r="71" spans="1:2" x14ac:dyDescent="0.25">
      <c r="B71" s="5"/>
    </row>
    <row r="72" spans="1:2" x14ac:dyDescent="0.25">
      <c r="A72" s="77"/>
      <c r="B72" s="5"/>
    </row>
    <row r="73" spans="1:2" x14ac:dyDescent="0.25">
      <c r="B73" s="5"/>
    </row>
    <row r="74" spans="1:2" x14ac:dyDescent="0.25">
      <c r="A74" s="77"/>
      <c r="B74" s="5"/>
    </row>
    <row r="75" spans="1:2" x14ac:dyDescent="0.25">
      <c r="B75" s="5"/>
    </row>
    <row r="76" spans="1:2" x14ac:dyDescent="0.25">
      <c r="A76" s="77"/>
      <c r="B76" s="5"/>
    </row>
    <row r="77" spans="1:2" x14ac:dyDescent="0.25">
      <c r="B77" s="5"/>
    </row>
    <row r="78" spans="1:2" x14ac:dyDescent="0.25">
      <c r="A78" s="77"/>
      <c r="B78" s="5"/>
    </row>
    <row r="79" spans="1:2" x14ac:dyDescent="0.25">
      <c r="B79" s="5"/>
    </row>
    <row r="80" spans="1:2" x14ac:dyDescent="0.25">
      <c r="A80" s="77"/>
      <c r="B80" s="5"/>
    </row>
    <row r="81" spans="1:2" x14ac:dyDescent="0.25">
      <c r="B81" s="5"/>
    </row>
    <row r="82" spans="1:2" x14ac:dyDescent="0.25">
      <c r="A82" s="77"/>
      <c r="B82" s="5"/>
    </row>
    <row r="83" spans="1:2" x14ac:dyDescent="0.25">
      <c r="B83" s="5"/>
    </row>
    <row r="84" spans="1:2" x14ac:dyDescent="0.25">
      <c r="A84" s="77"/>
      <c r="B84" s="5"/>
    </row>
    <row r="85" spans="1:2" x14ac:dyDescent="0.25">
      <c r="B85" s="5"/>
    </row>
    <row r="86" spans="1:2" x14ac:dyDescent="0.25">
      <c r="A86" s="77"/>
      <c r="B86" s="5"/>
    </row>
    <row r="87" spans="1:2" x14ac:dyDescent="0.25">
      <c r="B87" s="5"/>
    </row>
    <row r="88" spans="1:2" x14ac:dyDescent="0.25">
      <c r="A88" s="77"/>
      <c r="B88" s="5"/>
    </row>
    <row r="89" spans="1:2" x14ac:dyDescent="0.25">
      <c r="B89" s="5"/>
    </row>
    <row r="90" spans="1:2" x14ac:dyDescent="0.25">
      <c r="A90" s="77"/>
      <c r="B90" s="5"/>
    </row>
    <row r="91" spans="1:2" x14ac:dyDescent="0.25">
      <c r="B91" s="5"/>
    </row>
    <row r="92" spans="1:2" x14ac:dyDescent="0.25">
      <c r="A92" s="77"/>
      <c r="B92" s="5"/>
    </row>
    <row r="93" spans="1:2" x14ac:dyDescent="0.25">
      <c r="B93" s="5"/>
    </row>
    <row r="94" spans="1:2" x14ac:dyDescent="0.25">
      <c r="A94" s="77"/>
      <c r="B94" s="5"/>
    </row>
    <row r="95" spans="1:2" x14ac:dyDescent="0.25">
      <c r="B95" s="5"/>
    </row>
    <row r="96" spans="1:2" x14ac:dyDescent="0.25">
      <c r="B96" s="5"/>
    </row>
    <row r="97" spans="2:2" x14ac:dyDescent="0.25">
      <c r="B97" s="5"/>
    </row>
    <row r="98" spans="2:2" x14ac:dyDescent="0.25">
      <c r="B98" s="5"/>
    </row>
    <row r="99" spans="2:2" x14ac:dyDescent="0.25">
      <c r="B99" s="5"/>
    </row>
    <row r="100" spans="2:2" x14ac:dyDescent="0.25">
      <c r="B100" s="5"/>
    </row>
    <row r="101" spans="2:2" x14ac:dyDescent="0.25">
      <c r="B101" s="5"/>
    </row>
    <row r="102" spans="2:2" x14ac:dyDescent="0.25">
      <c r="B102" s="5"/>
    </row>
    <row r="103" spans="2:2" x14ac:dyDescent="0.25">
      <c r="B103" s="5"/>
    </row>
    <row r="104" spans="2:2" x14ac:dyDescent="0.25">
      <c r="B104" s="5"/>
    </row>
    <row r="105" spans="2:2" x14ac:dyDescent="0.25">
      <c r="B105" s="5"/>
    </row>
    <row r="106" spans="2:2" x14ac:dyDescent="0.25">
      <c r="B106" s="5"/>
    </row>
    <row r="107" spans="2:2" x14ac:dyDescent="0.25">
      <c r="B107" s="5"/>
    </row>
    <row r="108" spans="2:2" x14ac:dyDescent="0.25">
      <c r="B108" s="5"/>
    </row>
    <row r="109" spans="2:2" x14ac:dyDescent="0.25">
      <c r="B109" s="5"/>
    </row>
    <row r="110" spans="2:2" x14ac:dyDescent="0.25">
      <c r="B110" s="5"/>
    </row>
    <row r="111" spans="2:2" x14ac:dyDescent="0.25">
      <c r="B111" s="5"/>
    </row>
    <row r="112" spans="2:2" x14ac:dyDescent="0.25">
      <c r="B112" s="5"/>
    </row>
    <row r="113" spans="2:2" x14ac:dyDescent="0.25">
      <c r="B113" s="5"/>
    </row>
    <row r="114" spans="2:2" x14ac:dyDescent="0.25">
      <c r="B114" s="5"/>
    </row>
    <row r="115" spans="2:2" x14ac:dyDescent="0.25">
      <c r="B115" s="5"/>
    </row>
    <row r="116" spans="2:2" x14ac:dyDescent="0.25">
      <c r="B116" s="5"/>
    </row>
    <row r="117" spans="2:2" x14ac:dyDescent="0.25">
      <c r="B117" s="5"/>
    </row>
    <row r="118" spans="2:2" x14ac:dyDescent="0.25">
      <c r="B118" s="5"/>
    </row>
    <row r="119" spans="2:2" x14ac:dyDescent="0.25">
      <c r="B119" s="5"/>
    </row>
    <row r="120" spans="2:2" x14ac:dyDescent="0.25">
      <c r="B120" s="5"/>
    </row>
    <row r="121" spans="2:2" x14ac:dyDescent="0.25">
      <c r="B121" s="5"/>
    </row>
    <row r="122" spans="2:2" x14ac:dyDescent="0.25">
      <c r="B122" s="5"/>
    </row>
    <row r="123" spans="2:2" x14ac:dyDescent="0.25">
      <c r="B123" s="5"/>
    </row>
    <row r="124" spans="2:2" x14ac:dyDescent="0.25">
      <c r="B124" s="5"/>
    </row>
    <row r="125" spans="2:2" x14ac:dyDescent="0.25">
      <c r="B125" s="5"/>
    </row>
    <row r="126" spans="2:2" x14ac:dyDescent="0.25">
      <c r="B126" s="5"/>
    </row>
    <row r="127" spans="2:2" x14ac:dyDescent="0.25">
      <c r="B127" s="5"/>
    </row>
    <row r="128" spans="2:2" x14ac:dyDescent="0.25">
      <c r="B128" s="5"/>
    </row>
    <row r="129" spans="1:2" x14ac:dyDescent="0.25">
      <c r="B129" s="5"/>
    </row>
    <row r="130" spans="1:2" x14ac:dyDescent="0.25">
      <c r="B130" s="5"/>
    </row>
    <row r="131" spans="1:2" x14ac:dyDescent="0.25">
      <c r="B131" s="5"/>
    </row>
    <row r="132" spans="1:2" x14ac:dyDescent="0.25">
      <c r="B132" s="5"/>
    </row>
    <row r="133" spans="1:2" x14ac:dyDescent="0.25">
      <c r="B133" s="5"/>
    </row>
    <row r="134" spans="1:2" x14ac:dyDescent="0.25">
      <c r="B134" s="5"/>
    </row>
    <row r="135" spans="1:2" x14ac:dyDescent="0.25">
      <c r="B135" s="5"/>
    </row>
    <row r="136" spans="1:2" x14ac:dyDescent="0.25">
      <c r="B136" s="5"/>
    </row>
    <row r="137" spans="1:2" x14ac:dyDescent="0.25">
      <c r="B137" s="5"/>
    </row>
    <row r="138" spans="1:2" x14ac:dyDescent="0.25">
      <c r="B138" s="5"/>
    </row>
    <row r="139" spans="1:2" x14ac:dyDescent="0.25">
      <c r="B139" s="5"/>
    </row>
    <row r="140" spans="1:2" x14ac:dyDescent="0.25">
      <c r="B140" s="5"/>
    </row>
    <row r="141" spans="1:2" x14ac:dyDescent="0.25">
      <c r="A141" s="11"/>
    </row>
    <row r="142" spans="1:2" x14ac:dyDescent="0.25">
      <c r="A142" s="11"/>
    </row>
    <row r="143" spans="1:2" x14ac:dyDescent="0.25">
      <c r="A143" s="11"/>
      <c r="B143" s="7"/>
    </row>
    <row r="144" spans="1:2" x14ac:dyDescent="0.25">
      <c r="A144" s="10"/>
      <c r="B144" s="7"/>
    </row>
    <row r="145" spans="2:2" x14ac:dyDescent="0.25">
      <c r="B145" s="7"/>
    </row>
    <row r="146" spans="2:2" x14ac:dyDescent="0.25">
      <c r="B146" s="7"/>
    </row>
    <row r="147" spans="2:2" x14ac:dyDescent="0.25">
      <c r="B147" s="7"/>
    </row>
    <row r="148" spans="2:2" x14ac:dyDescent="0.25">
      <c r="B148" s="7"/>
    </row>
    <row r="149" spans="2:2" x14ac:dyDescent="0.25">
      <c r="B149" s="7"/>
    </row>
    <row r="150" spans="2:2" x14ac:dyDescent="0.25">
      <c r="B150" s="7"/>
    </row>
    <row r="151" spans="2:2" x14ac:dyDescent="0.25">
      <c r="B151" s="7"/>
    </row>
    <row r="152" spans="2:2" x14ac:dyDescent="0.25">
      <c r="B152" s="7"/>
    </row>
    <row r="153" spans="2:2" x14ac:dyDescent="0.25">
      <c r="B153" s="7"/>
    </row>
    <row r="154" spans="2:2" x14ac:dyDescent="0.25">
      <c r="B154" s="7"/>
    </row>
    <row r="155" spans="2:2" x14ac:dyDescent="0.25">
      <c r="B155" s="7"/>
    </row>
    <row r="156" spans="2:2" x14ac:dyDescent="0.25">
      <c r="B156" s="7"/>
    </row>
    <row r="157" spans="2:2" x14ac:dyDescent="0.25">
      <c r="B157" s="7"/>
    </row>
    <row r="158" spans="2:2" x14ac:dyDescent="0.25">
      <c r="B158" s="7"/>
    </row>
    <row r="159" spans="2:2" x14ac:dyDescent="0.25">
      <c r="B159" s="7"/>
    </row>
    <row r="160" spans="2:2" x14ac:dyDescent="0.25">
      <c r="B160" s="7"/>
    </row>
    <row r="161" spans="2:2" x14ac:dyDescent="0.25">
      <c r="B161" s="7"/>
    </row>
    <row r="162" spans="2:2" x14ac:dyDescent="0.25">
      <c r="B162" s="7"/>
    </row>
    <row r="163" spans="2:2" x14ac:dyDescent="0.25">
      <c r="B163" s="7"/>
    </row>
    <row r="164" spans="2:2" x14ac:dyDescent="0.25">
      <c r="B164" s="7"/>
    </row>
    <row r="165" spans="2:2" x14ac:dyDescent="0.25">
      <c r="B165" s="7"/>
    </row>
    <row r="166" spans="2:2" x14ac:dyDescent="0.25">
      <c r="B166" s="7"/>
    </row>
    <row r="167" spans="2:2" x14ac:dyDescent="0.25">
      <c r="B167" s="7"/>
    </row>
    <row r="168" spans="2:2" x14ac:dyDescent="0.25">
      <c r="B168" s="7"/>
    </row>
    <row r="169" spans="2:2" x14ac:dyDescent="0.25">
      <c r="B169" s="7"/>
    </row>
    <row r="170" spans="2:2" x14ac:dyDescent="0.25">
      <c r="B170" s="7"/>
    </row>
    <row r="171" spans="2:2" x14ac:dyDescent="0.25">
      <c r="B171" s="7"/>
    </row>
    <row r="172" spans="2:2" x14ac:dyDescent="0.25">
      <c r="B172" s="7"/>
    </row>
    <row r="245" spans="1:1" x14ac:dyDescent="0.25">
      <c r="A245" s="11"/>
    </row>
    <row r="246" spans="1:1" x14ac:dyDescent="0.25">
      <c r="A246" s="11"/>
    </row>
    <row r="247" spans="1:1" x14ac:dyDescent="0.25">
      <c r="A247" s="11"/>
    </row>
    <row r="248" spans="1:1" x14ac:dyDescent="0.25">
      <c r="A248" s="11"/>
    </row>
    <row r="249" spans="1:1" x14ac:dyDescent="0.25">
      <c r="A249" s="11"/>
    </row>
  </sheetData>
  <sortState ref="A5:A33">
    <sortCondition descending="1" ref="A5"/>
  </sortState>
  <dataValidations disablePrompts="1" count="1">
    <dataValidation type="list" showInputMessage="1" showErrorMessage="1" sqref="A2">
      <formula1>"1,2,3,4,5,6,6,7,9,10,11,12,34"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get_staiton">
                <anchor moveWithCells="1" sizeWithCells="1">
                  <from>
                    <xdr:col>2</xdr:col>
                    <xdr:colOff>104775</xdr:colOff>
                    <xdr:row>1</xdr:row>
                    <xdr:rowOff>0</xdr:rowOff>
                  </from>
                  <to>
                    <xdr:col>3</xdr:col>
                    <xdr:colOff>304800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clear_content">
                <anchor moveWithCells="1" sizeWithCells="1">
                  <from>
                    <xdr:col>3</xdr:col>
                    <xdr:colOff>552450</xdr:colOff>
                    <xdr:row>1</xdr:row>
                    <xdr:rowOff>28575</xdr:rowOff>
                  </from>
                  <to>
                    <xdr:col>5</xdr:col>
                    <xdr:colOff>142875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Button 14">
              <controlPr defaultSize="0" print="0" autoFill="0" autoPict="0" macro="[0]!pastev">
                <anchor moveWithCells="1" sizeWithCells="1">
                  <from>
                    <xdr:col>5</xdr:col>
                    <xdr:colOff>342900</xdr:colOff>
                    <xdr:row>1</xdr:row>
                    <xdr:rowOff>38100</xdr:rowOff>
                  </from>
                  <to>
                    <xdr:col>6</xdr:col>
                    <xdr:colOff>542925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Macro1">
                <anchor moveWithCells="1">
                  <from>
                    <xdr:col>2</xdr:col>
                    <xdr:colOff>123825</xdr:colOff>
                    <xdr:row>4</xdr:row>
                    <xdr:rowOff>0</xdr:rowOff>
                  </from>
                  <to>
                    <xdr:col>3</xdr:col>
                    <xdr:colOff>219075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gotomain">
                <anchor moveWithCells="1" sizeWithCells="1">
                  <from>
                    <xdr:col>7</xdr:col>
                    <xdr:colOff>161925</xdr:colOff>
                    <xdr:row>0</xdr:row>
                    <xdr:rowOff>133350</xdr:rowOff>
                  </from>
                  <to>
                    <xdr:col>8</xdr:col>
                    <xdr:colOff>504825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30"/>
  <sheetViews>
    <sheetView workbookViewId="0"/>
  </sheetViews>
  <sheetFormatPr defaultRowHeight="15" x14ac:dyDescent="0.25"/>
  <cols>
    <col min="1" max="1" width="8.42578125" customWidth="1"/>
    <col min="2" max="3" width="13.140625" bestFit="1" customWidth="1"/>
    <col min="4" max="4" width="11.28515625" bestFit="1" customWidth="1"/>
    <col min="5" max="5" width="11.42578125" customWidth="1"/>
    <col min="6" max="6" width="11.7109375" customWidth="1"/>
    <col min="7" max="7" width="16" customWidth="1"/>
    <col min="8" max="8" width="23.140625" bestFit="1" customWidth="1"/>
  </cols>
  <sheetData>
    <row r="2" spans="2:8" x14ac:dyDescent="0.25">
      <c r="F2" s="22" t="s">
        <v>58</v>
      </c>
      <c r="G2" s="22" t="s">
        <v>54</v>
      </c>
      <c r="H2" s="22" t="s">
        <v>55</v>
      </c>
    </row>
    <row r="3" spans="2:8" x14ac:dyDescent="0.25">
      <c r="F3" s="1">
        <v>0.45</v>
      </c>
      <c r="G3" s="1">
        <v>2</v>
      </c>
      <c r="H3" s="1" t="s">
        <v>56</v>
      </c>
    </row>
    <row r="4" spans="2:8" x14ac:dyDescent="0.25"/>
    <row r="5" spans="2:8" x14ac:dyDescent="0.25">
      <c r="C5" s="37" t="s">
        <v>57</v>
      </c>
      <c r="D5" s="38" t="s">
        <v>52</v>
      </c>
      <c r="E5" s="39" t="s">
        <v>51</v>
      </c>
    </row>
    <row r="6" spans="2:8" x14ac:dyDescent="0.25">
      <c r="C6" s="13" t="s">
        <v>18</v>
      </c>
      <c r="D6" s="40">
        <v>206143.91690000001</v>
      </c>
      <c r="E6" s="40">
        <v>798600.69160000002</v>
      </c>
      <c r="G6" s="14" t="s">
        <v>53</v>
      </c>
    </row>
    <row r="7" spans="2:8" x14ac:dyDescent="0.25">
      <c r="C7" s="13" t="s">
        <v>20</v>
      </c>
      <c r="D7" s="40">
        <v>206150.27609999999</v>
      </c>
      <c r="E7" s="40">
        <v>798610.86809999996</v>
      </c>
    </row>
    <row r="8" spans="2:8" x14ac:dyDescent="0.25">
      <c r="C8" s="13" t="s">
        <v>21</v>
      </c>
      <c r="D8" s="40">
        <v>206139.5619</v>
      </c>
      <c r="E8" s="40">
        <v>798617.56319999998</v>
      </c>
      <c r="G8" s="40"/>
      <c r="H8" s="14" t="s">
        <v>59</v>
      </c>
    </row>
    <row r="9" spans="2:8" x14ac:dyDescent="0.25">
      <c r="C9" s="13" t="s">
        <v>22</v>
      </c>
      <c r="D9" s="40">
        <v>206133.20269999999</v>
      </c>
      <c r="E9" s="40">
        <v>798607.38670000003</v>
      </c>
    </row>
    <row r="10" spans="2:8" x14ac:dyDescent="0.25">
      <c r="C10" s="13">
        <v>8</v>
      </c>
      <c r="D10" s="40">
        <v>206139.70910000001</v>
      </c>
      <c r="E10" s="40">
        <v>798595.65630000003</v>
      </c>
    </row>
    <row r="11" spans="2:8" x14ac:dyDescent="0.25">
      <c r="C11" s="13">
        <v>9</v>
      </c>
      <c r="D11" s="40">
        <v>206125.88320000001</v>
      </c>
      <c r="E11" s="40">
        <v>798592.15029999998</v>
      </c>
    </row>
    <row r="12" spans="2:8" x14ac:dyDescent="0.25">
      <c r="C12" s="13"/>
      <c r="D12" s="40"/>
      <c r="E12" s="40"/>
    </row>
    <row r="13" spans="2:8" x14ac:dyDescent="0.25">
      <c r="C13" s="13"/>
      <c r="D13" s="40"/>
      <c r="E13" s="40"/>
    </row>
    <row r="14" spans="2:8" x14ac:dyDescent="0.25">
      <c r="C14" s="13"/>
      <c r="D14" s="40"/>
      <c r="E14" s="40"/>
    </row>
    <row r="15" spans="2:8" x14ac:dyDescent="0.25">
      <c r="C15" s="13"/>
      <c r="D15" s="40"/>
      <c r="E15" s="40"/>
    </row>
    <row r="16" spans="2:8" x14ac:dyDescent="0.25">
      <c r="C16" s="13"/>
      <c r="D16" s="40"/>
      <c r="E16" s="40"/>
    </row>
    <row r="17" spans="3:5" x14ac:dyDescent="0.25">
      <c r="C17" s="13"/>
      <c r="D17" s="40"/>
      <c r="E17" s="40"/>
    </row>
    <row r="18" spans="3:5" x14ac:dyDescent="0.25">
      <c r="C18" s="13"/>
      <c r="D18" s="40"/>
      <c r="E18" s="40"/>
    </row>
    <row r="19" spans="3:5" x14ac:dyDescent="0.25">
      <c r="C19" s="13"/>
      <c r="D19" s="40"/>
      <c r="E19" s="40"/>
    </row>
    <row r="20" spans="3:5" x14ac:dyDescent="0.25">
      <c r="C20" s="13"/>
      <c r="D20" s="40"/>
      <c r="E20" s="40"/>
    </row>
    <row r="21" spans="3:5" x14ac:dyDescent="0.25">
      <c r="D21" s="36"/>
      <c r="E21" s="36"/>
    </row>
    <row r="22" spans="3:5" x14ac:dyDescent="0.25">
      <c r="D22" s="36"/>
      <c r="E22" s="36"/>
    </row>
    <row r="23" spans="3:5" x14ac:dyDescent="0.25">
      <c r="D23" s="36"/>
      <c r="E23" s="36"/>
    </row>
    <row r="24" spans="3:5" x14ac:dyDescent="0.25">
      <c r="D24" s="36"/>
      <c r="E24" s="36"/>
    </row>
    <row r="25" spans="3:5" x14ac:dyDescent="0.25">
      <c r="D25" s="36"/>
      <c r="E25" s="36"/>
    </row>
    <row r="26" spans="3:5" x14ac:dyDescent="0.25">
      <c r="D26" s="36"/>
      <c r="E26" s="36"/>
    </row>
    <row r="27" spans="3:5" x14ac:dyDescent="0.25">
      <c r="D27" s="36"/>
      <c r="E27" s="36"/>
    </row>
    <row r="28" spans="3:5" x14ac:dyDescent="0.25">
      <c r="D28" s="36"/>
      <c r="E28" s="36"/>
    </row>
    <row r="29" spans="3:5" x14ac:dyDescent="0.25">
      <c r="D29" s="36"/>
      <c r="E29" s="36"/>
    </row>
    <row r="30" spans="3:5" x14ac:dyDescent="0.25">
      <c r="D30" s="36"/>
      <c r="E30" s="36"/>
    </row>
  </sheetData>
  <dataValidations disablePrompts="1" count="1">
    <dataValidation type="list" allowBlank="1" showInputMessage="1" showErrorMessage="1" sqref="H3">
      <formula1>"YES,NO"</formula1>
    </dataValidation>
  </dataValidations>
  <pageMargins left="0.7" right="0.7" top="0.75" bottom="0.75" header="0.3" footer="0.3"/>
  <pageSetup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estAddCircle">
                <anchor moveWithCells="1" sizeWithCells="1">
                  <from>
                    <xdr:col>3</xdr:col>
                    <xdr:colOff>428625</xdr:colOff>
                    <xdr:row>1</xdr:row>
                    <xdr:rowOff>28575</xdr:rowOff>
                  </from>
                  <to>
                    <xdr:col>4</xdr:col>
                    <xdr:colOff>495300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otomain">
                <anchor moveWithCells="1" sizeWithCells="1">
                  <from>
                    <xdr:col>0</xdr:col>
                    <xdr:colOff>266700</xdr:colOff>
                    <xdr:row>0</xdr:row>
                    <xdr:rowOff>85725</xdr:rowOff>
                  </from>
                  <to>
                    <xdr:col>1</xdr:col>
                    <xdr:colOff>657225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4:I33"/>
  <sheetViews>
    <sheetView workbookViewId="0"/>
  </sheetViews>
  <sheetFormatPr defaultRowHeight="15" x14ac:dyDescent="0.25"/>
  <cols>
    <col min="4" max="4" width="15.140625" customWidth="1"/>
    <col min="5" max="5" width="15.5703125" customWidth="1"/>
  </cols>
  <sheetData>
    <row r="4" spans="2:9" x14ac:dyDescent="0.25"/>
    <row r="9" spans="2:9" x14ac:dyDescent="0.25">
      <c r="D9" s="79" t="s">
        <v>60</v>
      </c>
      <c r="E9" s="79"/>
    </row>
    <row r="10" spans="2:9" x14ac:dyDescent="0.25">
      <c r="D10" s="40"/>
      <c r="E10" s="40"/>
    </row>
    <row r="11" spans="2:9" x14ac:dyDescent="0.25">
      <c r="D11" s="40"/>
      <c r="E11" s="40"/>
      <c r="H11" s="40"/>
      <c r="I11" s="14" t="s">
        <v>59</v>
      </c>
    </row>
    <row r="12" spans="2:9" x14ac:dyDescent="0.25">
      <c r="D12" s="40"/>
      <c r="E12" s="40"/>
    </row>
    <row r="13" spans="2:9" x14ac:dyDescent="0.25">
      <c r="D13" s="40"/>
      <c r="E13" s="40"/>
    </row>
    <row r="14" spans="2:9" x14ac:dyDescent="0.25">
      <c r="D14" s="40"/>
      <c r="E14" s="40"/>
    </row>
    <row r="15" spans="2:9" x14ac:dyDescent="0.25">
      <c r="D15" s="40"/>
      <c r="E15" s="40"/>
    </row>
    <row r="16" spans="2:9" x14ac:dyDescent="0.25">
      <c r="D16" s="40"/>
      <c r="E16" s="40"/>
    </row>
    <row r="17" spans="4:5" x14ac:dyDescent="0.25">
      <c r="D17" s="40"/>
      <c r="E17" s="40"/>
    </row>
    <row r="18" spans="4:5" x14ac:dyDescent="0.25">
      <c r="D18" s="40"/>
      <c r="E18" s="40"/>
    </row>
    <row r="19" spans="4:5" x14ac:dyDescent="0.25">
      <c r="D19" s="40"/>
      <c r="E19" s="40"/>
    </row>
    <row r="20" spans="4:5" x14ac:dyDescent="0.25">
      <c r="D20" s="40"/>
      <c r="E20" s="40"/>
    </row>
    <row r="21" spans="4:5" x14ac:dyDescent="0.25">
      <c r="D21" s="40"/>
      <c r="E21" s="40"/>
    </row>
    <row r="22" spans="4:5" x14ac:dyDescent="0.25">
      <c r="D22" s="40"/>
      <c r="E22" s="40"/>
    </row>
    <row r="23" spans="4:5" x14ac:dyDescent="0.25">
      <c r="D23" s="40"/>
      <c r="E23" s="40"/>
    </row>
    <row r="24" spans="4:5" x14ac:dyDescent="0.25">
      <c r="D24" s="40"/>
      <c r="E24" s="40"/>
    </row>
    <row r="25" spans="4:5" x14ac:dyDescent="0.25">
      <c r="D25" s="36"/>
      <c r="E25" s="36"/>
    </row>
    <row r="26" spans="4:5" x14ac:dyDescent="0.25">
      <c r="D26" s="36"/>
      <c r="E26" s="36"/>
    </row>
    <row r="27" spans="4:5" x14ac:dyDescent="0.25">
      <c r="D27" s="36"/>
      <c r="E27" s="36"/>
    </row>
    <row r="28" spans="4:5" x14ac:dyDescent="0.25">
      <c r="D28" s="36"/>
      <c r="E28" s="36"/>
    </row>
    <row r="29" spans="4:5" x14ac:dyDescent="0.25">
      <c r="D29" s="36"/>
      <c r="E29" s="36"/>
    </row>
    <row r="30" spans="4:5" x14ac:dyDescent="0.25">
      <c r="D30" s="36"/>
      <c r="E30" s="36"/>
    </row>
    <row r="31" spans="4:5" x14ac:dyDescent="0.25">
      <c r="D31" s="36"/>
      <c r="E31" s="36"/>
    </row>
    <row r="32" spans="4:5" x14ac:dyDescent="0.25">
      <c r="D32" s="36"/>
      <c r="E32" s="36"/>
    </row>
    <row r="33" spans="4:5" x14ac:dyDescent="0.25">
      <c r="D33" s="36"/>
      <c r="E33" s="36"/>
    </row>
  </sheetData>
  <mergeCells count="1">
    <mergeCell ref="D9:E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t_pt">
                <anchor moveWithCells="1" sizeWithCells="1">
                  <from>
                    <xdr:col>3</xdr:col>
                    <xdr:colOff>714375</xdr:colOff>
                    <xdr:row>1</xdr:row>
                    <xdr:rowOff>133350</xdr:rowOff>
                  </from>
                  <to>
                    <xdr:col>4</xdr:col>
                    <xdr:colOff>800100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otomain">
                <anchor moveWithCells="1" sizeWithCells="1">
                  <from>
                    <xdr:col>6</xdr:col>
                    <xdr:colOff>314325</xdr:colOff>
                    <xdr:row>0</xdr:row>
                    <xdr:rowOff>57150</xdr:rowOff>
                  </from>
                  <to>
                    <xdr:col>8</xdr:col>
                    <xdr:colOff>47625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C5:D6"/>
  <sheetViews>
    <sheetView workbookViewId="0"/>
  </sheetViews>
  <sheetFormatPr defaultRowHeight="15" x14ac:dyDescent="0.25"/>
  <sheetData>
    <row r="5" spans="3:4" x14ac:dyDescent="0.25">
      <c r="C5" s="79" t="s">
        <v>24</v>
      </c>
      <c r="D5" s="79"/>
    </row>
    <row r="6" spans="3:4" x14ac:dyDescent="0.25">
      <c r="C6" s="41">
        <v>0</v>
      </c>
      <c r="D6" s="42" t="s">
        <v>61</v>
      </c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lope_HRTR">
                <anchor moveWithCells="1" sizeWithCells="1">
                  <from>
                    <xdr:col>4</xdr:col>
                    <xdr:colOff>600075</xdr:colOff>
                    <xdr:row>2</xdr:row>
                    <xdr:rowOff>47625</xdr:rowOff>
                  </from>
                  <to>
                    <xdr:col>6</xdr:col>
                    <xdr:colOff>514350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otomain">
                <anchor moveWithCells="1" sizeWithCells="1">
                  <from>
                    <xdr:col>0</xdr:col>
                    <xdr:colOff>257175</xdr:colOff>
                    <xdr:row>0</xdr:row>
                    <xdr:rowOff>133350</xdr:rowOff>
                  </from>
                  <to>
                    <xdr:col>1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23"/>
  <sheetViews>
    <sheetView workbookViewId="0"/>
  </sheetViews>
  <sheetFormatPr defaultRowHeight="15" x14ac:dyDescent="0.25"/>
  <cols>
    <col min="1" max="6" width="11" customWidth="1"/>
  </cols>
  <sheetData>
    <row r="1" spans="1:7" x14ac:dyDescent="0.25">
      <c r="A1" t="s">
        <v>26</v>
      </c>
      <c r="B1" t="s">
        <v>27</v>
      </c>
      <c r="C1" t="s">
        <v>28</v>
      </c>
      <c r="D1" t="s">
        <v>29</v>
      </c>
    </row>
    <row r="2" spans="1:7" x14ac:dyDescent="0.25">
      <c r="A2" s="13" t="s">
        <v>18</v>
      </c>
      <c r="B2" s="40">
        <v>206143.91690000001</v>
      </c>
      <c r="C2" s="40">
        <v>798600.69160000002</v>
      </c>
      <c r="E2" s="1"/>
      <c r="G2" t="s">
        <v>30</v>
      </c>
    </row>
    <row r="3" spans="1:7" x14ac:dyDescent="0.25">
      <c r="A3" s="13" t="s">
        <v>20</v>
      </c>
      <c r="B3" s="40">
        <v>206150.27609999999</v>
      </c>
      <c r="C3" s="40">
        <v>798610.86809999996</v>
      </c>
      <c r="E3" s="1"/>
    </row>
    <row r="4" spans="1:7" x14ac:dyDescent="0.25">
      <c r="A4" s="13" t="s">
        <v>21</v>
      </c>
      <c r="B4" s="40">
        <v>206139.5619</v>
      </c>
      <c r="C4" s="40">
        <v>798617.56319999998</v>
      </c>
      <c r="E4" s="1"/>
      <c r="F4" s="1"/>
    </row>
    <row r="5" spans="1:7" x14ac:dyDescent="0.25">
      <c r="A5" s="13" t="s">
        <v>22</v>
      </c>
      <c r="B5" s="40">
        <v>206133.20269999999</v>
      </c>
      <c r="C5" s="40">
        <v>798607.38670000003</v>
      </c>
      <c r="E5" s="1"/>
      <c r="F5" s="1"/>
    </row>
    <row r="6" spans="1:7" x14ac:dyDescent="0.25">
      <c r="A6" s="13">
        <v>8</v>
      </c>
      <c r="B6" s="40">
        <v>206139.70910000001</v>
      </c>
      <c r="C6" s="40">
        <v>798595.65630000003</v>
      </c>
      <c r="E6" s="1"/>
      <c r="F6" s="1"/>
    </row>
    <row r="7" spans="1:7" x14ac:dyDescent="0.25">
      <c r="B7" s="1"/>
      <c r="C7" s="1"/>
      <c r="E7" s="1"/>
      <c r="F7" s="1"/>
    </row>
    <row r="8" spans="1:7" x14ac:dyDescent="0.25">
      <c r="B8" s="1"/>
      <c r="C8" s="1"/>
      <c r="E8" s="1"/>
      <c r="F8" s="1"/>
    </row>
    <row r="9" spans="1:7" x14ac:dyDescent="0.25">
      <c r="B9" s="1"/>
      <c r="C9" s="1"/>
      <c r="E9" s="1"/>
      <c r="F9" s="1"/>
    </row>
    <row r="10" spans="1:7" x14ac:dyDescent="0.25">
      <c r="B10" s="1"/>
      <c r="C10" s="1"/>
      <c r="E10" s="1"/>
      <c r="F10" s="1"/>
    </row>
    <row r="11" spans="1:7" x14ac:dyDescent="0.25">
      <c r="B11" s="1"/>
      <c r="C11" s="1"/>
      <c r="E11" s="1"/>
      <c r="F11" s="1"/>
    </row>
    <row r="12" spans="1:7" x14ac:dyDescent="0.25">
      <c r="B12" s="1"/>
      <c r="C12" s="1"/>
      <c r="E12" s="1"/>
      <c r="F12" s="1"/>
    </row>
    <row r="13" spans="1:7" x14ac:dyDescent="0.25">
      <c r="F13" s="1"/>
    </row>
    <row r="14" spans="1:7" x14ac:dyDescent="0.25">
      <c r="F14" s="1"/>
    </row>
    <row r="17" spans="7:7" x14ac:dyDescent="0.25"/>
    <row r="23" spans="7:7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gotomain">
                <anchor moveWithCells="1" sizeWithCells="1">
                  <from>
                    <xdr:col>6</xdr:col>
                    <xdr:colOff>219075</xdr:colOff>
                    <xdr:row>12</xdr:row>
                    <xdr:rowOff>161925</xdr:rowOff>
                  </from>
                  <to>
                    <xdr:col>7</xdr:col>
                    <xdr:colOff>561975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59"/>
  <sheetViews>
    <sheetView workbookViewId="0">
      <selection sqref="A1:C1"/>
    </sheetView>
  </sheetViews>
  <sheetFormatPr defaultRowHeight="15" x14ac:dyDescent="0.25"/>
  <cols>
    <col min="2" max="2" width="11.42578125" customWidth="1"/>
    <col min="3" max="3" width="12.140625" customWidth="1"/>
    <col min="5" max="5" width="9.85546875" customWidth="1"/>
    <col min="6" max="6" width="11" bestFit="1" customWidth="1"/>
    <col min="7" max="7" width="12.42578125" customWidth="1"/>
  </cols>
  <sheetData>
    <row r="1" spans="1:7" x14ac:dyDescent="0.25">
      <c r="A1" s="80"/>
      <c r="B1" s="80"/>
      <c r="C1" s="80"/>
      <c r="E1" s="14" t="s">
        <v>31</v>
      </c>
      <c r="F1" t="s">
        <v>62</v>
      </c>
    </row>
    <row r="2" spans="1:7" x14ac:dyDescent="0.25">
      <c r="A2" t="s">
        <v>26</v>
      </c>
      <c r="B2" t="s">
        <v>27</v>
      </c>
      <c r="C2" t="s">
        <v>28</v>
      </c>
      <c r="E2" s="15" t="s">
        <v>32</v>
      </c>
      <c r="F2" s="16" t="str">
        <f>F1&amp;"\ExtractedDetails.txt"</f>
        <v>G:\__apJ0s\ExtractedDetails.txt</v>
      </c>
    </row>
    <row r="3" spans="1:7" x14ac:dyDescent="0.25">
      <c r="G3" s="16" t="str">
        <f ca="1">CHAR(RANDBETWEEN(67,86))&amp;CHAR(RANDBETWEEN(67,86))&amp;CHAR(RANDBETWEEN(67,86))&amp;CHAR(RANDBETWEEN(67,86))&amp;CHAR(RANDBETWEEN(67,86))&amp;CHAR(RANDBETWEEN(67,86))&amp;CHAR(RANDBETWEEN(67,86))&amp;CHAR(RANDBETWEEN(67,86))</f>
        <v>HTCCSPMS</v>
      </c>
    </row>
    <row r="27" spans="1:3" x14ac:dyDescent="0.25">
      <c r="A27" s="80"/>
      <c r="B27" s="80"/>
      <c r="C27" s="80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7" spans="1:3" x14ac:dyDescent="0.25">
      <c r="A37" s="80"/>
      <c r="B37" s="80"/>
      <c r="C37" s="80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  <row r="43" spans="1:3" x14ac:dyDescent="0.25">
      <c r="A43" s="1"/>
      <c r="B43" s="1"/>
      <c r="C43" s="1"/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1" spans="1:3" x14ac:dyDescent="0.25">
      <c r="A51" s="80">
        <v>670560</v>
      </c>
      <c r="B51" s="80"/>
      <c r="C51" s="80"/>
    </row>
    <row r="52" spans="1:3" x14ac:dyDescent="0.25">
      <c r="A52" s="1" t="s">
        <v>33</v>
      </c>
      <c r="B52" s="1" t="s">
        <v>28</v>
      </c>
      <c r="C52" s="1" t="s">
        <v>27</v>
      </c>
    </row>
    <row r="53" spans="1:3" x14ac:dyDescent="0.25">
      <c r="A53" s="1" t="s">
        <v>18</v>
      </c>
      <c r="B53" s="1">
        <v>993023.76500000001</v>
      </c>
      <c r="C53" s="1">
        <v>472479.39899999998</v>
      </c>
    </row>
    <row r="54" spans="1:3" x14ac:dyDescent="0.25">
      <c r="A54" s="1" t="s">
        <v>20</v>
      </c>
      <c r="B54" s="1">
        <v>993025.09699999995</v>
      </c>
      <c r="C54" s="1">
        <v>472472.62900000002</v>
      </c>
    </row>
    <row r="55" spans="1:3" x14ac:dyDescent="0.25">
      <c r="A55" s="1" t="s">
        <v>21</v>
      </c>
      <c r="B55" s="1">
        <v>993022.43299999996</v>
      </c>
      <c r="C55" s="1">
        <v>472480.17</v>
      </c>
    </row>
    <row r="56" spans="1:3" x14ac:dyDescent="0.25">
      <c r="A56" s="1" t="s">
        <v>22</v>
      </c>
      <c r="B56" s="1">
        <v>993024.94499999995</v>
      </c>
      <c r="C56" s="1">
        <v>472473.06</v>
      </c>
    </row>
    <row r="57" spans="1:3" x14ac:dyDescent="0.25">
      <c r="A57" s="1" t="s">
        <v>19</v>
      </c>
      <c r="B57" s="1">
        <v>993022.58100000001</v>
      </c>
      <c r="C57" s="1">
        <v>472479.75199999998</v>
      </c>
    </row>
    <row r="58" spans="1:3" x14ac:dyDescent="0.25">
      <c r="A58" s="1" t="s">
        <v>23</v>
      </c>
      <c r="B58" s="1">
        <v>993024.92799999996</v>
      </c>
      <c r="C58" s="1">
        <v>472479.10700000002</v>
      </c>
    </row>
    <row r="59" spans="1:3" x14ac:dyDescent="0.25">
      <c r="A59" s="1" t="s">
        <v>34</v>
      </c>
      <c r="B59" s="1">
        <v>993022.56400000001</v>
      </c>
      <c r="C59" s="1">
        <v>472479.8</v>
      </c>
    </row>
  </sheetData>
  <mergeCells count="4">
    <mergeCell ref="A1:C1"/>
    <mergeCell ref="A27:C27"/>
    <mergeCell ref="A37:C37"/>
    <mergeCell ref="A51:C5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ry">
                <anchor moveWithCells="1" sizeWithCells="1">
                  <from>
                    <xdr:col>4</xdr:col>
                    <xdr:colOff>295275</xdr:colOff>
                    <xdr:row>3</xdr:row>
                    <xdr:rowOff>133350</xdr:rowOff>
                  </from>
                  <to>
                    <xdr:col>5</xdr:col>
                    <xdr:colOff>695325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otomain">
                <anchor moveWithCells="1" sizeWithCells="1">
                  <from>
                    <xdr:col>7</xdr:col>
                    <xdr:colOff>47625</xdr:colOff>
                    <xdr:row>1</xdr:row>
                    <xdr:rowOff>133350</xdr:rowOff>
                  </from>
                  <to>
                    <xdr:col>8</xdr:col>
                    <xdr:colOff>390525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2:I14"/>
  <sheetViews>
    <sheetView workbookViewId="0">
      <selection activeCell="G5" sqref="G5"/>
    </sheetView>
  </sheetViews>
  <sheetFormatPr defaultRowHeight="15" x14ac:dyDescent="0.25"/>
  <sheetData>
    <row r="2" spans="1:9" x14ac:dyDescent="0.25">
      <c r="B2" t="str">
        <f ca="1">CHAR(RANDBETWEEN(67,89))&amp;CHAR(RANDBETWEEN(67,89))&amp;CHAR(RANDBETWEEN(67,89))&amp;CHAR(RANDBETWEEN(67,89))&amp;CHAR(RANDBETWEEN(67,89))&amp;CHAR(RANDBETWEEN(67,89))&amp;CHAR(RANDBETWEEN(67,89))&amp;CHAR(RANDBETWEEN(67,89))&amp;CHAR(RANDBETWEEN(67,89))</f>
        <v>RLCPVHGTT</v>
      </c>
    </row>
    <row r="3" spans="1:9" x14ac:dyDescent="0.25">
      <c r="B3" t="s">
        <v>35</v>
      </c>
    </row>
    <row r="5" spans="1:9" x14ac:dyDescent="0.25">
      <c r="G5" s="26" t="s">
        <v>193</v>
      </c>
    </row>
    <row r="9" spans="1:9" x14ac:dyDescent="0.25">
      <c r="A9" s="19"/>
      <c r="B9" s="19"/>
      <c r="C9" s="19"/>
      <c r="D9" s="19"/>
      <c r="E9" s="19"/>
      <c r="F9" s="19"/>
      <c r="G9" s="19"/>
      <c r="H9" s="19"/>
      <c r="I9" s="19"/>
    </row>
    <row r="13" spans="1:9" x14ac:dyDescent="0.25">
      <c r="B13" t="str">
        <f ca="1">CHAR(RANDBETWEEN(67,89))&amp;CHAR(RANDBETWEEN(67,89))&amp;CHAR(RANDBETWEEN(67,89))&amp;CHAR(RANDBETWEEN(67,89))&amp;CHAR(RANDBETWEEN(67,89))&amp;CHAR(RANDBETWEEN(67,89))&amp;CHAR(RANDBETWEEN(67,89))&amp;CHAR(RANDBETWEEN(67,89))&amp;CHAR(RANDBETWEEN(67,89))</f>
        <v>MHMXNYCHU</v>
      </c>
      <c r="H13" s="26" t="s">
        <v>64</v>
      </c>
    </row>
    <row r="14" spans="1:9" x14ac:dyDescent="0.25">
      <c r="B14" t="s">
        <v>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elEntByPline">
                <anchor moveWithCells="1" sizeWithCells="1">
                  <from>
                    <xdr:col>2</xdr:col>
                    <xdr:colOff>561975</xdr:colOff>
                    <xdr:row>3</xdr:row>
                    <xdr:rowOff>57150</xdr:rowOff>
                  </from>
                  <to>
                    <xdr:col>5</xdr:col>
                    <xdr:colOff>123825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selEntByPlineDelete">
                <anchor moveWithCells="1" sizeWithCells="1">
                  <from>
                    <xdr:col>3</xdr:col>
                    <xdr:colOff>581025</xdr:colOff>
                    <xdr:row>11</xdr:row>
                    <xdr:rowOff>57150</xdr:rowOff>
                  </from>
                  <to>
                    <xdr:col>6</xdr:col>
                    <xdr:colOff>142875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gotomain">
                <anchor moveWithCells="1" sizeWithCells="1">
                  <from>
                    <xdr:col>7</xdr:col>
                    <xdr:colOff>257175</xdr:colOff>
                    <xdr:row>0</xdr:row>
                    <xdr:rowOff>133350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236"/>
  <sheetViews>
    <sheetView topLeftCell="B1" zoomScale="85" zoomScaleNormal="85" workbookViewId="0">
      <pane xSplit="5640" ySplit="3810" topLeftCell="X9" activePane="topRight"/>
      <selection activeCell="E12" sqref="E12"/>
      <selection pane="topRight" activeCell="X4" sqref="X4:X17"/>
      <selection pane="bottomLeft" activeCell="F86" sqref="F86"/>
      <selection pane="bottomRight" activeCell="Z4" sqref="Z4:Z17"/>
    </sheetView>
  </sheetViews>
  <sheetFormatPr defaultRowHeight="15" x14ac:dyDescent="0.25"/>
  <cols>
    <col min="1" max="1" width="12" bestFit="1" customWidth="1"/>
    <col min="3" max="3" width="11.140625" customWidth="1"/>
    <col min="24" max="24" width="15.42578125" bestFit="1" customWidth="1"/>
    <col min="25" max="25" width="15.140625" customWidth="1"/>
  </cols>
  <sheetData>
    <row r="1" spans="1:26" x14ac:dyDescent="0.25">
      <c r="A1">
        <v>2.8849432252696801</v>
      </c>
      <c r="D1" t="s">
        <v>36</v>
      </c>
      <c r="E1" t="s">
        <v>37</v>
      </c>
      <c r="V1" s="81" t="s">
        <v>195</v>
      </c>
      <c r="W1" s="81"/>
      <c r="X1" s="81"/>
      <c r="Y1" s="81"/>
    </row>
    <row r="2" spans="1:26" x14ac:dyDescent="0.25">
      <c r="B2" t="s">
        <v>38</v>
      </c>
      <c r="C2" t="s">
        <v>39</v>
      </c>
      <c r="V2" s="82" t="s">
        <v>196</v>
      </c>
      <c r="W2" s="83"/>
      <c r="X2" s="83"/>
      <c r="Y2" s="84"/>
    </row>
    <row r="3" spans="1:26" x14ac:dyDescent="0.25">
      <c r="B3" s="20" t="s">
        <v>40</v>
      </c>
      <c r="C3" s="21"/>
      <c r="E3" t="s">
        <v>41</v>
      </c>
      <c r="V3" s="1"/>
      <c r="W3" s="1"/>
      <c r="X3" s="1" t="s">
        <v>194</v>
      </c>
      <c r="Y3" s="1" t="s">
        <v>109</v>
      </c>
    </row>
    <row r="4" spans="1:26" x14ac:dyDescent="0.25">
      <c r="B4">
        <v>-161.0234429916103</v>
      </c>
      <c r="C4">
        <v>206.44340957273343</v>
      </c>
      <c r="F4" s="22" t="s">
        <v>42</v>
      </c>
      <c r="X4" s="44" t="s">
        <v>249</v>
      </c>
      <c r="Z4" s="59">
        <f t="shared" ref="Z4:Z17" si="0">ROUND(Y4,3)</f>
        <v>0</v>
      </c>
    </row>
    <row r="5" spans="1:26" x14ac:dyDescent="0.25">
      <c r="B5">
        <v>-137.67683053171112</v>
      </c>
      <c r="C5">
        <v>206.51003799658341</v>
      </c>
      <c r="F5" s="1">
        <f>COUNT(B4:B5,B8:B9)+COUNTA($G$20:$G$593)</f>
        <v>15</v>
      </c>
      <c r="G5">
        <f>F5</f>
        <v>15</v>
      </c>
      <c r="H5">
        <f>COUNT($G$20:$G$593)</f>
        <v>11</v>
      </c>
      <c r="X5" s="44" t="s">
        <v>250</v>
      </c>
      <c r="Z5" s="59">
        <f t="shared" si="0"/>
        <v>0</v>
      </c>
    </row>
    <row r="6" spans="1:26" x14ac:dyDescent="0.25">
      <c r="X6" s="44" t="s">
        <v>251</v>
      </c>
      <c r="Z6" s="59">
        <f t="shared" si="0"/>
        <v>0</v>
      </c>
    </row>
    <row r="7" spans="1:26" x14ac:dyDescent="0.25">
      <c r="B7" s="20" t="s">
        <v>43</v>
      </c>
      <c r="C7" s="21"/>
      <c r="H7" s="43" t="s">
        <v>63</v>
      </c>
      <c r="I7" s="43" t="s">
        <v>63</v>
      </c>
      <c r="X7" s="44" t="s">
        <v>252</v>
      </c>
      <c r="Z7" s="59">
        <f t="shared" si="0"/>
        <v>0</v>
      </c>
    </row>
    <row r="8" spans="1:26" x14ac:dyDescent="0.25">
      <c r="B8" s="23">
        <v>-161.0234429916103</v>
      </c>
      <c r="C8" s="23">
        <v>203.36940915284882</v>
      </c>
      <c r="H8" s="43" t="s">
        <v>63</v>
      </c>
      <c r="I8" s="43" t="s">
        <v>63</v>
      </c>
      <c r="X8" s="44" t="s">
        <v>253</v>
      </c>
      <c r="Z8" s="59">
        <f t="shared" si="0"/>
        <v>0</v>
      </c>
    </row>
    <row r="9" spans="1:26" x14ac:dyDescent="0.25">
      <c r="B9">
        <v>-137.67683053171112</v>
      </c>
      <c r="C9">
        <v>203.37076404768246</v>
      </c>
      <c r="E9" s="67" t="s">
        <v>116</v>
      </c>
      <c r="F9" s="68"/>
      <c r="H9" s="43" t="s">
        <v>63</v>
      </c>
      <c r="I9" s="43" t="s">
        <v>63</v>
      </c>
      <c r="X9" s="44" t="s">
        <v>254</v>
      </c>
      <c r="Z9" s="59">
        <f t="shared" si="0"/>
        <v>0</v>
      </c>
    </row>
    <row r="10" spans="1:26" x14ac:dyDescent="0.25">
      <c r="E10" s="69">
        <v>0</v>
      </c>
      <c r="H10" s="43" t="s">
        <v>63</v>
      </c>
      <c r="I10" s="43" t="s">
        <v>63</v>
      </c>
      <c r="X10" s="44" t="s">
        <v>255</v>
      </c>
      <c r="Z10" s="59">
        <f t="shared" si="0"/>
        <v>0</v>
      </c>
    </row>
    <row r="11" spans="1:26" x14ac:dyDescent="0.25">
      <c r="B11" s="24" t="s">
        <v>44</v>
      </c>
      <c r="C11" s="25"/>
      <c r="X11" s="44" t="s">
        <v>256</v>
      </c>
      <c r="Z11" s="59">
        <f t="shared" si="0"/>
        <v>0</v>
      </c>
    </row>
    <row r="12" spans="1:26" x14ac:dyDescent="0.25">
      <c r="B12" s="1" t="s">
        <v>45</v>
      </c>
      <c r="C12" s="1">
        <v>7.7769902094314602</v>
      </c>
      <c r="D12" s="26"/>
      <c r="X12" s="44" t="s">
        <v>257</v>
      </c>
      <c r="Z12" s="59">
        <f t="shared" si="0"/>
        <v>0</v>
      </c>
    </row>
    <row r="13" spans="1:26" x14ac:dyDescent="0.25">
      <c r="B13" s="26"/>
      <c r="D13" s="26"/>
      <c r="X13" s="44" t="s">
        <v>258</v>
      </c>
      <c r="Z13" s="59">
        <f t="shared" si="0"/>
        <v>0</v>
      </c>
    </row>
    <row r="14" spans="1:26" x14ac:dyDescent="0.25">
      <c r="D14" s="26"/>
      <c r="X14" s="44" t="s">
        <v>259</v>
      </c>
      <c r="Z14" s="59">
        <f t="shared" si="0"/>
        <v>0</v>
      </c>
    </row>
    <row r="15" spans="1:26" x14ac:dyDescent="0.25">
      <c r="B15" s="26"/>
      <c r="D15" s="26"/>
      <c r="X15" s="44" t="s">
        <v>260</v>
      </c>
      <c r="Z15" s="59">
        <f t="shared" si="0"/>
        <v>0</v>
      </c>
    </row>
    <row r="16" spans="1:26" x14ac:dyDescent="0.25">
      <c r="X16" s="44" t="s">
        <v>261</v>
      </c>
      <c r="Z16" s="59">
        <f t="shared" si="0"/>
        <v>0</v>
      </c>
    </row>
    <row r="17" spans="2:26" x14ac:dyDescent="0.25">
      <c r="X17" s="44" t="s">
        <v>262</v>
      </c>
      <c r="Z17" s="59">
        <f t="shared" si="0"/>
        <v>0</v>
      </c>
    </row>
    <row r="18" spans="2:26" x14ac:dyDescent="0.25">
      <c r="B18" t="s">
        <v>46</v>
      </c>
      <c r="G18" t="s">
        <v>47</v>
      </c>
    </row>
    <row r="19" spans="2:26" x14ac:dyDescent="0.25">
      <c r="B19" t="s">
        <v>38</v>
      </c>
      <c r="C19" t="s">
        <v>39</v>
      </c>
      <c r="D19" t="s">
        <v>48</v>
      </c>
      <c r="E19" t="s">
        <v>49</v>
      </c>
      <c r="G19" t="s">
        <v>38</v>
      </c>
      <c r="H19" t="s">
        <v>39</v>
      </c>
    </row>
    <row r="20" spans="2:26" x14ac:dyDescent="0.25">
      <c r="B20">
        <v>-192.42458170608811</v>
      </c>
      <c r="C20">
        <v>206.55618601040817</v>
      </c>
      <c r="D20" s="18" t="str">
        <f t="shared" ref="D20:D83" si="1">IF(B20&gt;$B$4,IF(B20&lt;$B$5,B20,""),"")</f>
        <v/>
      </c>
      <c r="E20" s="18" t="str">
        <f t="shared" ref="E20:E83" si="2">IF(D20="","",C20)</f>
        <v/>
      </c>
      <c r="G20">
        <v>-159.30279564429372</v>
      </c>
      <c r="H20">
        <v>206.46974191063748</v>
      </c>
    </row>
    <row r="21" spans="2:26" x14ac:dyDescent="0.25">
      <c r="B21">
        <v>-191.10538558523913</v>
      </c>
      <c r="C21">
        <v>206.21193862697248</v>
      </c>
      <c r="D21" s="18" t="str">
        <f t="shared" si="1"/>
        <v/>
      </c>
      <c r="E21" s="18" t="str">
        <f t="shared" si="2"/>
        <v/>
      </c>
      <c r="G21">
        <v>-158.11098385532426</v>
      </c>
      <c r="H21">
        <v>206.46550243872969</v>
      </c>
    </row>
    <row r="22" spans="2:26" x14ac:dyDescent="0.25">
      <c r="B22">
        <v>-187.23426623792187</v>
      </c>
      <c r="C22">
        <v>206.15328635642629</v>
      </c>
      <c r="D22" s="18" t="str">
        <f t="shared" si="1"/>
        <v/>
      </c>
      <c r="E22" s="18" t="str">
        <f t="shared" si="2"/>
        <v/>
      </c>
      <c r="G22">
        <v>-156.30373372342831</v>
      </c>
      <c r="H22">
        <v>206.47804748748865</v>
      </c>
    </row>
    <row r="23" spans="2:26" x14ac:dyDescent="0.25">
      <c r="B23">
        <v>-175.71380225261541</v>
      </c>
      <c r="C23">
        <v>206.23727871173276</v>
      </c>
      <c r="D23" s="18" t="str">
        <f t="shared" si="1"/>
        <v/>
      </c>
      <c r="E23" s="18" t="str">
        <f t="shared" si="2"/>
        <v/>
      </c>
      <c r="G23">
        <v>-154.16009205962541</v>
      </c>
      <c r="H23">
        <v>206.52054365259062</v>
      </c>
    </row>
    <row r="24" spans="2:26" x14ac:dyDescent="0.25">
      <c r="B24">
        <v>-171.32745693159529</v>
      </c>
      <c r="C24">
        <v>206.23523147886419</v>
      </c>
      <c r="D24" s="18" t="str">
        <f t="shared" si="1"/>
        <v/>
      </c>
      <c r="E24" s="18" t="str">
        <f t="shared" si="2"/>
        <v/>
      </c>
      <c r="G24">
        <v>-153.21490684847456</v>
      </c>
      <c r="H24">
        <v>206.53616648830177</v>
      </c>
    </row>
    <row r="25" spans="2:26" x14ac:dyDescent="0.25">
      <c r="B25">
        <v>-171.31028753857936</v>
      </c>
      <c r="C25">
        <v>205.80771110924445</v>
      </c>
      <c r="D25" s="18" t="str">
        <f t="shared" si="1"/>
        <v/>
      </c>
      <c r="E25" s="18" t="str">
        <f t="shared" si="2"/>
        <v/>
      </c>
      <c r="G25">
        <v>-151.99935350746924</v>
      </c>
      <c r="H25">
        <v>206.49758523803359</v>
      </c>
    </row>
    <row r="26" spans="2:26" x14ac:dyDescent="0.25">
      <c r="B26">
        <v>-168.36236286755124</v>
      </c>
      <c r="C26">
        <v>206.33109665845416</v>
      </c>
      <c r="D26" s="18" t="str">
        <f t="shared" si="1"/>
        <v/>
      </c>
      <c r="E26" s="18" t="str">
        <f t="shared" si="2"/>
        <v/>
      </c>
      <c r="G26">
        <v>-148.76683551298856</v>
      </c>
      <c r="H26">
        <v>206.40839453774117</v>
      </c>
    </row>
    <row r="27" spans="2:26" x14ac:dyDescent="0.25">
      <c r="B27">
        <v>-159.30279564429372</v>
      </c>
      <c r="C27">
        <v>206.46974191063748</v>
      </c>
      <c r="D27" s="18">
        <f t="shared" si="1"/>
        <v>-159.30279564429372</v>
      </c>
      <c r="E27" s="18">
        <f t="shared" si="2"/>
        <v>206.46974191063748</v>
      </c>
      <c r="G27">
        <v>-148.24357624506789</v>
      </c>
      <c r="H27">
        <v>206.39395691956781</v>
      </c>
    </row>
    <row r="28" spans="2:26" x14ac:dyDescent="0.25">
      <c r="B28">
        <v>-158.11098385532426</v>
      </c>
      <c r="C28">
        <v>206.46550243872969</v>
      </c>
      <c r="D28" s="18">
        <f t="shared" si="1"/>
        <v>-158.11098385532426</v>
      </c>
      <c r="E28" s="18">
        <f t="shared" si="2"/>
        <v>206.46550243872969</v>
      </c>
      <c r="G28">
        <v>-144.52006853965997</v>
      </c>
      <c r="H28">
        <v>206.42820825133515</v>
      </c>
    </row>
    <row r="29" spans="2:26" x14ac:dyDescent="0.25">
      <c r="B29">
        <v>-156.30373372342831</v>
      </c>
      <c r="C29">
        <v>206.47804748748865</v>
      </c>
      <c r="D29" s="18">
        <f t="shared" si="1"/>
        <v>-156.30373372342831</v>
      </c>
      <c r="E29" s="18">
        <f t="shared" si="2"/>
        <v>206.47804748748865</v>
      </c>
      <c r="G29">
        <v>-142.29341254589883</v>
      </c>
      <c r="H29">
        <v>206.34695050265861</v>
      </c>
    </row>
    <row r="30" spans="2:26" x14ac:dyDescent="0.25">
      <c r="B30">
        <v>-154.16009205962541</v>
      </c>
      <c r="C30">
        <v>206.52054365259062</v>
      </c>
      <c r="D30" s="18">
        <f t="shared" si="1"/>
        <v>-154.16009205962541</v>
      </c>
      <c r="E30" s="18">
        <f t="shared" si="2"/>
        <v>206.52054365259062</v>
      </c>
      <c r="G30">
        <v>-139.22096697297684</v>
      </c>
      <c r="H30">
        <v>206.49242540770717</v>
      </c>
      <c r="J30">
        <v>9</v>
      </c>
    </row>
    <row r="31" spans="2:26" x14ac:dyDescent="0.25">
      <c r="B31">
        <v>-153.21490684847456</v>
      </c>
      <c r="C31">
        <v>206.53616648830177</v>
      </c>
      <c r="D31" s="18">
        <f t="shared" si="1"/>
        <v>-153.21490684847456</v>
      </c>
      <c r="E31" s="18">
        <f t="shared" si="2"/>
        <v>206.53616648830177</v>
      </c>
      <c r="J31">
        <v>12</v>
      </c>
      <c r="K31">
        <f>J31-J30</f>
        <v>3</v>
      </c>
    </row>
    <row r="32" spans="2:26" x14ac:dyDescent="0.25">
      <c r="B32">
        <v>-151.99935350746924</v>
      </c>
      <c r="C32">
        <v>206.49758523803359</v>
      </c>
      <c r="D32" s="18">
        <f t="shared" si="1"/>
        <v>-151.99935350746924</v>
      </c>
      <c r="E32" s="18">
        <f t="shared" si="2"/>
        <v>206.49758523803359</v>
      </c>
      <c r="J32">
        <v>15</v>
      </c>
      <c r="K32">
        <f t="shared" ref="K32:K35" si="3">J32-J31</f>
        <v>3</v>
      </c>
    </row>
    <row r="33" spans="2:11" x14ac:dyDescent="0.25">
      <c r="B33">
        <v>-148.76683551298856</v>
      </c>
      <c r="C33">
        <v>206.40839453774117</v>
      </c>
      <c r="D33" s="18">
        <f t="shared" si="1"/>
        <v>-148.76683551298856</v>
      </c>
      <c r="E33" s="18">
        <f t="shared" si="2"/>
        <v>206.40839453774117</v>
      </c>
      <c r="J33">
        <v>18</v>
      </c>
      <c r="K33">
        <f t="shared" si="3"/>
        <v>3</v>
      </c>
    </row>
    <row r="34" spans="2:11" x14ac:dyDescent="0.25">
      <c r="B34">
        <v>-148.24357624506789</v>
      </c>
      <c r="C34">
        <v>206.39395691956781</v>
      </c>
      <c r="D34" s="18">
        <f t="shared" si="1"/>
        <v>-148.24357624506789</v>
      </c>
      <c r="E34" s="18">
        <f t="shared" si="2"/>
        <v>206.39395691956781</v>
      </c>
      <c r="J34">
        <v>21</v>
      </c>
      <c r="K34">
        <f t="shared" si="3"/>
        <v>3</v>
      </c>
    </row>
    <row r="35" spans="2:11" x14ac:dyDescent="0.25">
      <c r="B35">
        <v>-144.52006853965997</v>
      </c>
      <c r="C35">
        <v>206.42820825133515</v>
      </c>
      <c r="D35" s="18">
        <f t="shared" si="1"/>
        <v>-144.52006853965997</v>
      </c>
      <c r="E35" s="18">
        <f t="shared" si="2"/>
        <v>206.42820825133515</v>
      </c>
      <c r="J35">
        <v>24</v>
      </c>
      <c r="K35">
        <f t="shared" si="3"/>
        <v>3</v>
      </c>
    </row>
    <row r="36" spans="2:11" x14ac:dyDescent="0.25">
      <c r="B36">
        <v>-142.29341254589883</v>
      </c>
      <c r="C36">
        <v>206.34695050265861</v>
      </c>
      <c r="D36" s="18">
        <f t="shared" si="1"/>
        <v>-142.29341254589883</v>
      </c>
      <c r="E36" s="18">
        <f t="shared" si="2"/>
        <v>206.34695050265861</v>
      </c>
    </row>
    <row r="37" spans="2:11" x14ac:dyDescent="0.25">
      <c r="B37">
        <v>-139.22096697297684</v>
      </c>
      <c r="C37">
        <v>206.49242540770717</v>
      </c>
      <c r="D37" s="18">
        <f t="shared" si="1"/>
        <v>-139.22096697297684</v>
      </c>
      <c r="E37" s="18">
        <f t="shared" si="2"/>
        <v>206.49242540770717</v>
      </c>
    </row>
    <row r="38" spans="2:11" x14ac:dyDescent="0.25">
      <c r="B38">
        <v>-136.60977184321786</v>
      </c>
      <c r="C38">
        <v>206.5222089845123</v>
      </c>
      <c r="D38" s="18" t="str">
        <f t="shared" si="1"/>
        <v/>
      </c>
      <c r="E38" s="18" t="str">
        <f t="shared" si="2"/>
        <v/>
      </c>
    </row>
    <row r="39" spans="2:11" x14ac:dyDescent="0.25">
      <c r="B39">
        <v>-133.99347894972107</v>
      </c>
      <c r="C39">
        <v>206.48726077903291</v>
      </c>
      <c r="D39" s="18" t="str">
        <f t="shared" si="1"/>
        <v/>
      </c>
      <c r="E39" s="18" t="str">
        <f t="shared" si="2"/>
        <v/>
      </c>
    </row>
    <row r="40" spans="2:11" x14ac:dyDescent="0.25">
      <c r="B40">
        <v>-130.24063159746669</v>
      </c>
      <c r="C40">
        <v>206.41408164271263</v>
      </c>
      <c r="D40" s="18" t="str">
        <f t="shared" si="1"/>
        <v/>
      </c>
      <c r="E40" s="18" t="str">
        <f t="shared" si="2"/>
        <v/>
      </c>
    </row>
    <row r="41" spans="2:11" x14ac:dyDescent="0.25">
      <c r="B41">
        <v>-128.39250792490947</v>
      </c>
      <c r="C41">
        <v>206.40066289362028</v>
      </c>
      <c r="D41" s="18" t="str">
        <f t="shared" si="1"/>
        <v/>
      </c>
      <c r="E41" s="18" t="str">
        <f t="shared" si="2"/>
        <v/>
      </c>
    </row>
    <row r="42" spans="2:11" x14ac:dyDescent="0.25">
      <c r="B42">
        <v>-127.15916204420773</v>
      </c>
      <c r="C42">
        <v>206.3556300692552</v>
      </c>
      <c r="D42" s="18" t="str">
        <f t="shared" si="1"/>
        <v/>
      </c>
      <c r="E42" s="18" t="str">
        <f t="shared" si="2"/>
        <v/>
      </c>
    </row>
    <row r="43" spans="2:11" x14ac:dyDescent="0.25">
      <c r="B43">
        <v>-118.30300309411632</v>
      </c>
      <c r="C43">
        <v>206.32908142921326</v>
      </c>
      <c r="D43" s="18" t="str">
        <f t="shared" si="1"/>
        <v/>
      </c>
      <c r="E43" s="18" t="str">
        <f t="shared" si="2"/>
        <v/>
      </c>
    </row>
    <row r="44" spans="2:11" x14ac:dyDescent="0.25">
      <c r="B44">
        <v>-117.30360985165041</v>
      </c>
      <c r="C44">
        <v>206.33607414307119</v>
      </c>
      <c r="D44" s="18" t="str">
        <f t="shared" si="1"/>
        <v/>
      </c>
      <c r="E44" s="18" t="str">
        <f t="shared" si="2"/>
        <v/>
      </c>
    </row>
    <row r="45" spans="2:11" x14ac:dyDescent="0.25">
      <c r="B45">
        <v>-117.20009101444683</v>
      </c>
      <c r="C45">
        <v>206.22827866357977</v>
      </c>
      <c r="D45" s="18" t="str">
        <f t="shared" si="1"/>
        <v/>
      </c>
      <c r="E45" s="18" t="str">
        <f t="shared" si="2"/>
        <v/>
      </c>
    </row>
    <row r="46" spans="2:11" x14ac:dyDescent="0.25">
      <c r="B46">
        <v>-116.80760342503112</v>
      </c>
      <c r="C46">
        <v>205.8142176730945</v>
      </c>
      <c r="D46" s="18" t="str">
        <f t="shared" si="1"/>
        <v/>
      </c>
      <c r="E46" s="18" t="str">
        <f t="shared" si="2"/>
        <v/>
      </c>
    </row>
    <row r="47" spans="2:11" x14ac:dyDescent="0.25">
      <c r="B47">
        <v>-114.62225292663948</v>
      </c>
      <c r="C47">
        <v>205.98770184689886</v>
      </c>
      <c r="D47" s="18" t="str">
        <f t="shared" si="1"/>
        <v/>
      </c>
      <c r="E47" s="18" t="str">
        <f t="shared" si="2"/>
        <v/>
      </c>
    </row>
    <row r="48" spans="2:11" x14ac:dyDescent="0.25">
      <c r="B48">
        <v>-111.00693130887723</v>
      </c>
      <c r="C48">
        <v>206.4515944993617</v>
      </c>
      <c r="D48" s="18" t="str">
        <f t="shared" si="1"/>
        <v/>
      </c>
      <c r="E48" s="18" t="str">
        <f t="shared" si="2"/>
        <v/>
      </c>
    </row>
    <row r="49" spans="2:5" x14ac:dyDescent="0.25">
      <c r="B49">
        <v>-104.93097194346984</v>
      </c>
      <c r="C49">
        <v>206.62612725820588</v>
      </c>
      <c r="D49" s="18" t="str">
        <f t="shared" si="1"/>
        <v/>
      </c>
      <c r="E49" s="18" t="str">
        <f t="shared" si="2"/>
        <v/>
      </c>
    </row>
    <row r="50" spans="2:5" x14ac:dyDescent="0.25">
      <c r="B50">
        <v>-102.5730485179551</v>
      </c>
      <c r="C50">
        <v>206.55931936385889</v>
      </c>
      <c r="D50" s="18" t="str">
        <f t="shared" si="1"/>
        <v/>
      </c>
      <c r="E50" s="18" t="str">
        <f t="shared" si="2"/>
        <v/>
      </c>
    </row>
    <row r="51" spans="2:5" x14ac:dyDescent="0.25">
      <c r="B51">
        <v>-102.43524807800523</v>
      </c>
      <c r="C51">
        <v>206.54904694451386</v>
      </c>
      <c r="D51" s="18" t="str">
        <f t="shared" si="1"/>
        <v/>
      </c>
      <c r="E51" s="18" t="str">
        <f t="shared" si="2"/>
        <v/>
      </c>
    </row>
    <row r="52" spans="2:5" x14ac:dyDescent="0.25">
      <c r="B52">
        <v>-101.96893681767415</v>
      </c>
      <c r="C52">
        <v>206.53776645092637</v>
      </c>
      <c r="D52" s="18" t="str">
        <f t="shared" si="1"/>
        <v/>
      </c>
      <c r="E52" s="18" t="str">
        <f t="shared" si="2"/>
        <v/>
      </c>
    </row>
    <row r="53" spans="2:5" x14ac:dyDescent="0.25">
      <c r="D53" s="18" t="str">
        <f t="shared" si="1"/>
        <v/>
      </c>
      <c r="E53" s="18" t="str">
        <f t="shared" si="2"/>
        <v/>
      </c>
    </row>
    <row r="54" spans="2:5" x14ac:dyDescent="0.25">
      <c r="D54" s="18" t="str">
        <f t="shared" si="1"/>
        <v/>
      </c>
      <c r="E54" s="18" t="str">
        <f t="shared" si="2"/>
        <v/>
      </c>
    </row>
    <row r="55" spans="2:5" x14ac:dyDescent="0.25">
      <c r="D55" s="18" t="str">
        <f t="shared" si="1"/>
        <v/>
      </c>
      <c r="E55" s="18" t="str">
        <f t="shared" si="2"/>
        <v/>
      </c>
    </row>
    <row r="56" spans="2:5" x14ac:dyDescent="0.25">
      <c r="D56" s="18" t="str">
        <f t="shared" si="1"/>
        <v/>
      </c>
      <c r="E56" s="18" t="str">
        <f t="shared" si="2"/>
        <v/>
      </c>
    </row>
    <row r="57" spans="2:5" x14ac:dyDescent="0.25">
      <c r="D57" s="18" t="str">
        <f t="shared" si="1"/>
        <v/>
      </c>
      <c r="E57" s="18" t="str">
        <f t="shared" si="2"/>
        <v/>
      </c>
    </row>
    <row r="58" spans="2:5" x14ac:dyDescent="0.25">
      <c r="D58" s="18" t="str">
        <f t="shared" si="1"/>
        <v/>
      </c>
      <c r="E58" s="18" t="str">
        <f t="shared" si="2"/>
        <v/>
      </c>
    </row>
    <row r="59" spans="2:5" x14ac:dyDescent="0.25">
      <c r="D59" s="18" t="str">
        <f t="shared" si="1"/>
        <v/>
      </c>
      <c r="E59" s="18" t="str">
        <f t="shared" si="2"/>
        <v/>
      </c>
    </row>
    <row r="60" spans="2:5" x14ac:dyDescent="0.25">
      <c r="D60" s="18" t="str">
        <f t="shared" si="1"/>
        <v/>
      </c>
      <c r="E60" s="18" t="str">
        <f t="shared" si="2"/>
        <v/>
      </c>
    </row>
    <row r="61" spans="2:5" x14ac:dyDescent="0.25">
      <c r="D61" s="18" t="str">
        <f t="shared" si="1"/>
        <v/>
      </c>
      <c r="E61" s="18" t="str">
        <f t="shared" si="2"/>
        <v/>
      </c>
    </row>
    <row r="62" spans="2:5" x14ac:dyDescent="0.25">
      <c r="D62" s="18" t="str">
        <f t="shared" si="1"/>
        <v/>
      </c>
      <c r="E62" s="18" t="str">
        <f t="shared" si="2"/>
        <v/>
      </c>
    </row>
    <row r="63" spans="2:5" x14ac:dyDescent="0.25">
      <c r="D63" s="18" t="str">
        <f t="shared" si="1"/>
        <v/>
      </c>
      <c r="E63" s="18" t="str">
        <f t="shared" si="2"/>
        <v/>
      </c>
    </row>
    <row r="64" spans="2:5" x14ac:dyDescent="0.25">
      <c r="D64" s="18" t="str">
        <f t="shared" si="1"/>
        <v/>
      </c>
      <c r="E64" s="18" t="str">
        <f t="shared" si="2"/>
        <v/>
      </c>
    </row>
    <row r="65" spans="4:5" x14ac:dyDescent="0.25">
      <c r="D65" s="18" t="str">
        <f t="shared" si="1"/>
        <v/>
      </c>
      <c r="E65" s="18" t="str">
        <f t="shared" si="2"/>
        <v/>
      </c>
    </row>
    <row r="66" spans="4:5" x14ac:dyDescent="0.25">
      <c r="D66" s="18" t="str">
        <f t="shared" si="1"/>
        <v/>
      </c>
      <c r="E66" s="18" t="str">
        <f t="shared" si="2"/>
        <v/>
      </c>
    </row>
    <row r="67" spans="4:5" x14ac:dyDescent="0.25">
      <c r="D67" s="18" t="str">
        <f t="shared" si="1"/>
        <v/>
      </c>
      <c r="E67" s="18" t="str">
        <f t="shared" si="2"/>
        <v/>
      </c>
    </row>
    <row r="68" spans="4:5" x14ac:dyDescent="0.25">
      <c r="D68" s="18" t="str">
        <f t="shared" si="1"/>
        <v/>
      </c>
      <c r="E68" s="18" t="str">
        <f t="shared" si="2"/>
        <v/>
      </c>
    </row>
    <row r="69" spans="4:5" x14ac:dyDescent="0.25">
      <c r="D69" s="18" t="str">
        <f t="shared" si="1"/>
        <v/>
      </c>
      <c r="E69" s="18" t="str">
        <f t="shared" si="2"/>
        <v/>
      </c>
    </row>
    <row r="70" spans="4:5" x14ac:dyDescent="0.25">
      <c r="D70" s="18" t="str">
        <f t="shared" si="1"/>
        <v/>
      </c>
      <c r="E70" s="18" t="str">
        <f t="shared" si="2"/>
        <v/>
      </c>
    </row>
    <row r="71" spans="4:5" x14ac:dyDescent="0.25">
      <c r="D71" s="18" t="str">
        <f t="shared" si="1"/>
        <v/>
      </c>
      <c r="E71" s="18" t="str">
        <f t="shared" si="2"/>
        <v/>
      </c>
    </row>
    <row r="72" spans="4:5" x14ac:dyDescent="0.25">
      <c r="D72" s="18" t="str">
        <f t="shared" si="1"/>
        <v/>
      </c>
      <c r="E72" s="18" t="str">
        <f t="shared" si="2"/>
        <v/>
      </c>
    </row>
    <row r="73" spans="4:5" x14ac:dyDescent="0.25">
      <c r="D73" s="18" t="str">
        <f t="shared" si="1"/>
        <v/>
      </c>
      <c r="E73" s="18" t="str">
        <f t="shared" si="2"/>
        <v/>
      </c>
    </row>
    <row r="74" spans="4:5" x14ac:dyDescent="0.25">
      <c r="D74" s="18" t="str">
        <f t="shared" si="1"/>
        <v/>
      </c>
      <c r="E74" s="18" t="str">
        <f t="shared" si="2"/>
        <v/>
      </c>
    </row>
    <row r="75" spans="4:5" x14ac:dyDescent="0.25">
      <c r="D75" s="18" t="str">
        <f t="shared" si="1"/>
        <v/>
      </c>
      <c r="E75" s="18" t="str">
        <f t="shared" si="2"/>
        <v/>
      </c>
    </row>
    <row r="76" spans="4:5" x14ac:dyDescent="0.25">
      <c r="D76" s="18" t="str">
        <f t="shared" si="1"/>
        <v/>
      </c>
      <c r="E76" s="18" t="str">
        <f t="shared" si="2"/>
        <v/>
      </c>
    </row>
    <row r="77" spans="4:5" x14ac:dyDescent="0.25">
      <c r="D77" s="18" t="str">
        <f t="shared" si="1"/>
        <v/>
      </c>
      <c r="E77" s="18" t="str">
        <f t="shared" si="2"/>
        <v/>
      </c>
    </row>
    <row r="78" spans="4:5" x14ac:dyDescent="0.25">
      <c r="D78" s="18" t="str">
        <f t="shared" si="1"/>
        <v/>
      </c>
      <c r="E78" s="18" t="str">
        <f t="shared" si="2"/>
        <v/>
      </c>
    </row>
    <row r="79" spans="4:5" x14ac:dyDescent="0.25">
      <c r="D79" t="str">
        <f t="shared" si="1"/>
        <v/>
      </c>
      <c r="E79" t="str">
        <f t="shared" si="2"/>
        <v/>
      </c>
    </row>
    <row r="80" spans="4:5" x14ac:dyDescent="0.25">
      <c r="D80" t="str">
        <f t="shared" si="1"/>
        <v/>
      </c>
      <c r="E80" t="str">
        <f t="shared" si="2"/>
        <v/>
      </c>
    </row>
    <row r="81" spans="4:5" x14ac:dyDescent="0.25">
      <c r="D81" t="str">
        <f t="shared" si="1"/>
        <v/>
      </c>
      <c r="E81" t="str">
        <f t="shared" si="2"/>
        <v/>
      </c>
    </row>
    <row r="82" spans="4:5" x14ac:dyDescent="0.25">
      <c r="D82" t="str">
        <f t="shared" si="1"/>
        <v/>
      </c>
      <c r="E82" t="str">
        <f t="shared" si="2"/>
        <v/>
      </c>
    </row>
    <row r="83" spans="4:5" x14ac:dyDescent="0.25">
      <c r="D83" t="str">
        <f t="shared" si="1"/>
        <v/>
      </c>
      <c r="E83" t="str">
        <f t="shared" si="2"/>
        <v/>
      </c>
    </row>
    <row r="84" spans="4:5" x14ac:dyDescent="0.25">
      <c r="D84" t="str">
        <f t="shared" ref="D84:D147" si="4">IF(B84&gt;$B$4,IF(B84&lt;$B$5,B84,""),"")</f>
        <v/>
      </c>
      <c r="E84" t="str">
        <f t="shared" ref="E84:E147" si="5">IF(D84="","",C84)</f>
        <v/>
      </c>
    </row>
    <row r="85" spans="4:5" x14ac:dyDescent="0.25">
      <c r="D85" t="str">
        <f t="shared" si="4"/>
        <v/>
      </c>
      <c r="E85" t="str">
        <f t="shared" si="5"/>
        <v/>
      </c>
    </row>
    <row r="86" spans="4:5" x14ac:dyDescent="0.25">
      <c r="D86" t="str">
        <f t="shared" si="4"/>
        <v/>
      </c>
      <c r="E86" t="str">
        <f t="shared" si="5"/>
        <v/>
      </c>
    </row>
    <row r="87" spans="4:5" x14ac:dyDescent="0.25">
      <c r="D87" t="str">
        <f t="shared" si="4"/>
        <v/>
      </c>
      <c r="E87" t="str">
        <f t="shared" si="5"/>
        <v/>
      </c>
    </row>
    <row r="88" spans="4:5" x14ac:dyDescent="0.25">
      <c r="D88" t="str">
        <f t="shared" si="4"/>
        <v/>
      </c>
      <c r="E88" t="str">
        <f t="shared" si="5"/>
        <v/>
      </c>
    </row>
    <row r="89" spans="4:5" x14ac:dyDescent="0.25">
      <c r="D89" t="str">
        <f t="shared" si="4"/>
        <v/>
      </c>
      <c r="E89" t="str">
        <f t="shared" si="5"/>
        <v/>
      </c>
    </row>
    <row r="90" spans="4:5" x14ac:dyDescent="0.25">
      <c r="D90" t="str">
        <f t="shared" si="4"/>
        <v/>
      </c>
      <c r="E90" t="str">
        <f t="shared" si="5"/>
        <v/>
      </c>
    </row>
    <row r="91" spans="4:5" x14ac:dyDescent="0.25">
      <c r="D91" t="str">
        <f t="shared" si="4"/>
        <v/>
      </c>
      <c r="E91" t="str">
        <f t="shared" si="5"/>
        <v/>
      </c>
    </row>
    <row r="92" spans="4:5" x14ac:dyDescent="0.25">
      <c r="D92" t="str">
        <f t="shared" si="4"/>
        <v/>
      </c>
      <c r="E92" t="str">
        <f t="shared" si="5"/>
        <v/>
      </c>
    </row>
    <row r="93" spans="4:5" x14ac:dyDescent="0.25">
      <c r="D93" t="str">
        <f t="shared" si="4"/>
        <v/>
      </c>
      <c r="E93" t="str">
        <f t="shared" si="5"/>
        <v/>
      </c>
    </row>
    <row r="94" spans="4:5" x14ac:dyDescent="0.25">
      <c r="D94" t="str">
        <f t="shared" si="4"/>
        <v/>
      </c>
      <c r="E94" t="str">
        <f t="shared" si="5"/>
        <v/>
      </c>
    </row>
    <row r="95" spans="4:5" x14ac:dyDescent="0.25">
      <c r="D95" t="str">
        <f t="shared" si="4"/>
        <v/>
      </c>
      <c r="E95" t="str">
        <f t="shared" si="5"/>
        <v/>
      </c>
    </row>
    <row r="96" spans="4:5" x14ac:dyDescent="0.25">
      <c r="D96" t="str">
        <f t="shared" si="4"/>
        <v/>
      </c>
      <c r="E96" t="str">
        <f t="shared" si="5"/>
        <v/>
      </c>
    </row>
    <row r="97" spans="4:5" x14ac:dyDescent="0.25">
      <c r="D97" t="str">
        <f t="shared" si="4"/>
        <v/>
      </c>
      <c r="E97" t="str">
        <f t="shared" si="5"/>
        <v/>
      </c>
    </row>
    <row r="98" spans="4:5" x14ac:dyDescent="0.25">
      <c r="D98" t="str">
        <f t="shared" si="4"/>
        <v/>
      </c>
      <c r="E98" t="str">
        <f t="shared" si="5"/>
        <v/>
      </c>
    </row>
    <row r="99" spans="4:5" x14ac:dyDescent="0.25">
      <c r="D99" t="str">
        <f t="shared" si="4"/>
        <v/>
      </c>
      <c r="E99" t="str">
        <f t="shared" si="5"/>
        <v/>
      </c>
    </row>
    <row r="100" spans="4:5" x14ac:dyDescent="0.25">
      <c r="D100" t="str">
        <f t="shared" si="4"/>
        <v/>
      </c>
      <c r="E100" t="str">
        <f t="shared" si="5"/>
        <v/>
      </c>
    </row>
    <row r="101" spans="4:5" x14ac:dyDescent="0.25">
      <c r="D101" t="str">
        <f t="shared" si="4"/>
        <v/>
      </c>
      <c r="E101" t="str">
        <f t="shared" si="5"/>
        <v/>
      </c>
    </row>
    <row r="102" spans="4:5" x14ac:dyDescent="0.25">
      <c r="D102" t="str">
        <f t="shared" si="4"/>
        <v/>
      </c>
      <c r="E102" t="str">
        <f t="shared" si="5"/>
        <v/>
      </c>
    </row>
    <row r="103" spans="4:5" x14ac:dyDescent="0.25">
      <c r="D103" t="str">
        <f t="shared" si="4"/>
        <v/>
      </c>
      <c r="E103" t="str">
        <f t="shared" si="5"/>
        <v/>
      </c>
    </row>
    <row r="104" spans="4:5" x14ac:dyDescent="0.25">
      <c r="D104" t="str">
        <f t="shared" si="4"/>
        <v/>
      </c>
      <c r="E104" t="str">
        <f t="shared" si="5"/>
        <v/>
      </c>
    </row>
    <row r="105" spans="4:5" x14ac:dyDescent="0.25">
      <c r="D105" t="str">
        <f t="shared" si="4"/>
        <v/>
      </c>
      <c r="E105" t="str">
        <f t="shared" si="5"/>
        <v/>
      </c>
    </row>
    <row r="106" spans="4:5" x14ac:dyDescent="0.25">
      <c r="D106" t="str">
        <f t="shared" si="4"/>
        <v/>
      </c>
      <c r="E106" t="str">
        <f t="shared" si="5"/>
        <v/>
      </c>
    </row>
    <row r="107" spans="4:5" x14ac:dyDescent="0.25">
      <c r="D107" t="str">
        <f t="shared" si="4"/>
        <v/>
      </c>
      <c r="E107" t="str">
        <f t="shared" si="5"/>
        <v/>
      </c>
    </row>
    <row r="108" spans="4:5" x14ac:dyDescent="0.25">
      <c r="D108" t="str">
        <f t="shared" si="4"/>
        <v/>
      </c>
      <c r="E108" t="str">
        <f t="shared" si="5"/>
        <v/>
      </c>
    </row>
    <row r="109" spans="4:5" x14ac:dyDescent="0.25">
      <c r="D109" t="str">
        <f t="shared" si="4"/>
        <v/>
      </c>
      <c r="E109" t="str">
        <f t="shared" si="5"/>
        <v/>
      </c>
    </row>
    <row r="110" spans="4:5" x14ac:dyDescent="0.25">
      <c r="D110" t="str">
        <f t="shared" si="4"/>
        <v/>
      </c>
      <c r="E110" t="str">
        <f t="shared" si="5"/>
        <v/>
      </c>
    </row>
    <row r="111" spans="4:5" x14ac:dyDescent="0.25">
      <c r="D111" t="str">
        <f t="shared" si="4"/>
        <v/>
      </c>
      <c r="E111" t="str">
        <f t="shared" si="5"/>
        <v/>
      </c>
    </row>
    <row r="112" spans="4:5" x14ac:dyDescent="0.25">
      <c r="D112" t="str">
        <f t="shared" si="4"/>
        <v/>
      </c>
      <c r="E112" t="str">
        <f t="shared" si="5"/>
        <v/>
      </c>
    </row>
    <row r="113" spans="4:5" x14ac:dyDescent="0.25">
      <c r="D113" t="str">
        <f t="shared" si="4"/>
        <v/>
      </c>
      <c r="E113" t="str">
        <f t="shared" si="5"/>
        <v/>
      </c>
    </row>
    <row r="114" spans="4:5" x14ac:dyDescent="0.25">
      <c r="D114" t="str">
        <f t="shared" si="4"/>
        <v/>
      </c>
      <c r="E114" t="str">
        <f t="shared" si="5"/>
        <v/>
      </c>
    </row>
    <row r="115" spans="4:5" x14ac:dyDescent="0.25">
      <c r="D115" t="str">
        <f t="shared" si="4"/>
        <v/>
      </c>
      <c r="E115" t="str">
        <f t="shared" si="5"/>
        <v/>
      </c>
    </row>
    <row r="116" spans="4:5" x14ac:dyDescent="0.25">
      <c r="D116" t="str">
        <f t="shared" si="4"/>
        <v/>
      </c>
      <c r="E116" t="str">
        <f t="shared" si="5"/>
        <v/>
      </c>
    </row>
    <row r="117" spans="4:5" x14ac:dyDescent="0.25">
      <c r="D117" t="str">
        <f t="shared" si="4"/>
        <v/>
      </c>
      <c r="E117" t="str">
        <f t="shared" si="5"/>
        <v/>
      </c>
    </row>
    <row r="118" spans="4:5" x14ac:dyDescent="0.25">
      <c r="D118" t="str">
        <f t="shared" si="4"/>
        <v/>
      </c>
      <c r="E118" t="str">
        <f t="shared" si="5"/>
        <v/>
      </c>
    </row>
    <row r="119" spans="4:5" x14ac:dyDescent="0.25">
      <c r="D119" t="str">
        <f t="shared" si="4"/>
        <v/>
      </c>
      <c r="E119" t="str">
        <f t="shared" si="5"/>
        <v/>
      </c>
    </row>
    <row r="120" spans="4:5" x14ac:dyDescent="0.25">
      <c r="D120" t="str">
        <f t="shared" si="4"/>
        <v/>
      </c>
      <c r="E120" t="str">
        <f t="shared" si="5"/>
        <v/>
      </c>
    </row>
    <row r="121" spans="4:5" x14ac:dyDescent="0.25">
      <c r="D121" t="str">
        <f t="shared" si="4"/>
        <v/>
      </c>
      <c r="E121" t="str">
        <f t="shared" si="5"/>
        <v/>
      </c>
    </row>
    <row r="122" spans="4:5" x14ac:dyDescent="0.25">
      <c r="D122" t="str">
        <f t="shared" si="4"/>
        <v/>
      </c>
      <c r="E122" t="str">
        <f t="shared" si="5"/>
        <v/>
      </c>
    </row>
    <row r="123" spans="4:5" x14ac:dyDescent="0.25">
      <c r="D123" t="str">
        <f t="shared" si="4"/>
        <v/>
      </c>
      <c r="E123" t="str">
        <f t="shared" si="5"/>
        <v/>
      </c>
    </row>
    <row r="124" spans="4:5" x14ac:dyDescent="0.25">
      <c r="D124" t="str">
        <f t="shared" si="4"/>
        <v/>
      </c>
      <c r="E124" t="str">
        <f t="shared" si="5"/>
        <v/>
      </c>
    </row>
    <row r="125" spans="4:5" x14ac:dyDescent="0.25">
      <c r="D125" t="str">
        <f t="shared" si="4"/>
        <v/>
      </c>
      <c r="E125" t="str">
        <f t="shared" si="5"/>
        <v/>
      </c>
    </row>
    <row r="126" spans="4:5" x14ac:dyDescent="0.25">
      <c r="D126" t="str">
        <f t="shared" si="4"/>
        <v/>
      </c>
      <c r="E126" t="str">
        <f t="shared" si="5"/>
        <v/>
      </c>
    </row>
    <row r="127" spans="4:5" x14ac:dyDescent="0.25">
      <c r="D127" t="str">
        <f t="shared" si="4"/>
        <v/>
      </c>
      <c r="E127" t="str">
        <f t="shared" si="5"/>
        <v/>
      </c>
    </row>
    <row r="128" spans="4:5" x14ac:dyDescent="0.25">
      <c r="D128" t="str">
        <f t="shared" si="4"/>
        <v/>
      </c>
      <c r="E128" t="str">
        <f t="shared" si="5"/>
        <v/>
      </c>
    </row>
    <row r="129" spans="4:5" x14ac:dyDescent="0.25">
      <c r="D129" t="str">
        <f t="shared" si="4"/>
        <v/>
      </c>
      <c r="E129" t="str">
        <f t="shared" si="5"/>
        <v/>
      </c>
    </row>
    <row r="130" spans="4:5" x14ac:dyDescent="0.25">
      <c r="D130" t="str">
        <f t="shared" si="4"/>
        <v/>
      </c>
      <c r="E130" t="str">
        <f t="shared" si="5"/>
        <v/>
      </c>
    </row>
    <row r="131" spans="4:5" x14ac:dyDescent="0.25">
      <c r="D131" t="str">
        <f t="shared" si="4"/>
        <v/>
      </c>
      <c r="E131" t="str">
        <f t="shared" si="5"/>
        <v/>
      </c>
    </row>
    <row r="132" spans="4:5" x14ac:dyDescent="0.25">
      <c r="D132" t="str">
        <f t="shared" si="4"/>
        <v/>
      </c>
      <c r="E132" t="str">
        <f t="shared" si="5"/>
        <v/>
      </c>
    </row>
    <row r="133" spans="4:5" x14ac:dyDescent="0.25">
      <c r="D133" t="str">
        <f t="shared" si="4"/>
        <v/>
      </c>
      <c r="E133" t="str">
        <f t="shared" si="5"/>
        <v/>
      </c>
    </row>
    <row r="134" spans="4:5" x14ac:dyDescent="0.25">
      <c r="D134" t="str">
        <f t="shared" si="4"/>
        <v/>
      </c>
      <c r="E134" t="str">
        <f t="shared" si="5"/>
        <v/>
      </c>
    </row>
    <row r="135" spans="4:5" x14ac:dyDescent="0.25">
      <c r="D135" t="str">
        <f t="shared" si="4"/>
        <v/>
      </c>
      <c r="E135" t="str">
        <f t="shared" si="5"/>
        <v/>
      </c>
    </row>
    <row r="136" spans="4:5" x14ac:dyDescent="0.25">
      <c r="D136" t="str">
        <f t="shared" si="4"/>
        <v/>
      </c>
      <c r="E136" t="str">
        <f t="shared" si="5"/>
        <v/>
      </c>
    </row>
    <row r="137" spans="4:5" x14ac:dyDescent="0.25">
      <c r="D137" t="str">
        <f t="shared" si="4"/>
        <v/>
      </c>
      <c r="E137" t="str">
        <f t="shared" si="5"/>
        <v/>
      </c>
    </row>
    <row r="138" spans="4:5" x14ac:dyDescent="0.25">
      <c r="D138" t="str">
        <f t="shared" si="4"/>
        <v/>
      </c>
      <c r="E138" t="str">
        <f t="shared" si="5"/>
        <v/>
      </c>
    </row>
    <row r="139" spans="4:5" x14ac:dyDescent="0.25">
      <c r="D139" t="str">
        <f t="shared" si="4"/>
        <v/>
      </c>
      <c r="E139" t="str">
        <f t="shared" si="5"/>
        <v/>
      </c>
    </row>
    <row r="140" spans="4:5" x14ac:dyDescent="0.25">
      <c r="D140" t="str">
        <f t="shared" si="4"/>
        <v/>
      </c>
      <c r="E140" t="str">
        <f t="shared" si="5"/>
        <v/>
      </c>
    </row>
    <row r="141" spans="4:5" x14ac:dyDescent="0.25">
      <c r="D141" t="str">
        <f t="shared" si="4"/>
        <v/>
      </c>
      <c r="E141" t="str">
        <f t="shared" si="5"/>
        <v/>
      </c>
    </row>
    <row r="142" spans="4:5" x14ac:dyDescent="0.25">
      <c r="D142" t="str">
        <f t="shared" si="4"/>
        <v/>
      </c>
      <c r="E142" t="str">
        <f t="shared" si="5"/>
        <v/>
      </c>
    </row>
    <row r="143" spans="4:5" x14ac:dyDescent="0.25">
      <c r="D143" t="str">
        <f t="shared" si="4"/>
        <v/>
      </c>
      <c r="E143" t="str">
        <f t="shared" si="5"/>
        <v/>
      </c>
    </row>
    <row r="144" spans="4:5" x14ac:dyDescent="0.25">
      <c r="D144" t="str">
        <f t="shared" si="4"/>
        <v/>
      </c>
      <c r="E144" t="str">
        <f t="shared" si="5"/>
        <v/>
      </c>
    </row>
    <row r="145" spans="4:5" x14ac:dyDescent="0.25">
      <c r="D145" t="str">
        <f t="shared" si="4"/>
        <v/>
      </c>
      <c r="E145" t="str">
        <f t="shared" si="5"/>
        <v/>
      </c>
    </row>
    <row r="146" spans="4:5" x14ac:dyDescent="0.25">
      <c r="D146" t="str">
        <f t="shared" si="4"/>
        <v/>
      </c>
      <c r="E146" t="str">
        <f t="shared" si="5"/>
        <v/>
      </c>
    </row>
    <row r="147" spans="4:5" x14ac:dyDescent="0.25">
      <c r="D147" t="str">
        <f t="shared" si="4"/>
        <v/>
      </c>
      <c r="E147" t="str">
        <f t="shared" si="5"/>
        <v/>
      </c>
    </row>
    <row r="148" spans="4:5" x14ac:dyDescent="0.25">
      <c r="D148" t="str">
        <f t="shared" ref="D148:D211" si="6">IF(B148&gt;$B$4,IF(B148&lt;$B$5,B148,""),"")</f>
        <v/>
      </c>
      <c r="E148" t="str">
        <f t="shared" ref="E148:E203" si="7">IF(D148="","",C148)</f>
        <v/>
      </c>
    </row>
    <row r="149" spans="4:5" x14ac:dyDescent="0.25">
      <c r="D149" t="str">
        <f t="shared" si="6"/>
        <v/>
      </c>
      <c r="E149" t="str">
        <f t="shared" si="7"/>
        <v/>
      </c>
    </row>
    <row r="150" spans="4:5" x14ac:dyDescent="0.25">
      <c r="D150" t="str">
        <f t="shared" si="6"/>
        <v/>
      </c>
      <c r="E150" t="str">
        <f t="shared" si="7"/>
        <v/>
      </c>
    </row>
    <row r="151" spans="4:5" x14ac:dyDescent="0.25">
      <c r="D151" t="str">
        <f t="shared" si="6"/>
        <v/>
      </c>
      <c r="E151" t="str">
        <f t="shared" si="7"/>
        <v/>
      </c>
    </row>
    <row r="152" spans="4:5" x14ac:dyDescent="0.25">
      <c r="D152" t="str">
        <f t="shared" si="6"/>
        <v/>
      </c>
      <c r="E152" t="str">
        <f t="shared" si="7"/>
        <v/>
      </c>
    </row>
    <row r="153" spans="4:5" x14ac:dyDescent="0.25">
      <c r="D153" t="str">
        <f t="shared" si="6"/>
        <v/>
      </c>
      <c r="E153" t="str">
        <f t="shared" si="7"/>
        <v/>
      </c>
    </row>
    <row r="154" spans="4:5" x14ac:dyDescent="0.25">
      <c r="D154" t="str">
        <f t="shared" si="6"/>
        <v/>
      </c>
      <c r="E154" t="str">
        <f t="shared" si="7"/>
        <v/>
      </c>
    </row>
    <row r="155" spans="4:5" x14ac:dyDescent="0.25">
      <c r="D155" t="str">
        <f t="shared" si="6"/>
        <v/>
      </c>
      <c r="E155" t="str">
        <f t="shared" si="7"/>
        <v/>
      </c>
    </row>
    <row r="156" spans="4:5" x14ac:dyDescent="0.25">
      <c r="D156" t="str">
        <f t="shared" si="6"/>
        <v/>
      </c>
      <c r="E156" t="str">
        <f t="shared" si="7"/>
        <v/>
      </c>
    </row>
    <row r="157" spans="4:5" x14ac:dyDescent="0.25">
      <c r="D157" t="str">
        <f t="shared" si="6"/>
        <v/>
      </c>
      <c r="E157" t="str">
        <f t="shared" si="7"/>
        <v/>
      </c>
    </row>
    <row r="158" spans="4:5" x14ac:dyDescent="0.25">
      <c r="D158" t="str">
        <f t="shared" si="6"/>
        <v/>
      </c>
      <c r="E158" t="str">
        <f t="shared" si="7"/>
        <v/>
      </c>
    </row>
    <row r="159" spans="4:5" x14ac:dyDescent="0.25">
      <c r="D159" t="str">
        <f t="shared" si="6"/>
        <v/>
      </c>
      <c r="E159" t="str">
        <f t="shared" si="7"/>
        <v/>
      </c>
    </row>
    <row r="160" spans="4:5" x14ac:dyDescent="0.25">
      <c r="D160" t="str">
        <f t="shared" si="6"/>
        <v/>
      </c>
      <c r="E160" t="str">
        <f t="shared" si="7"/>
        <v/>
      </c>
    </row>
    <row r="161" spans="4:5" x14ac:dyDescent="0.25">
      <c r="D161" t="str">
        <f t="shared" si="6"/>
        <v/>
      </c>
      <c r="E161" t="str">
        <f t="shared" si="7"/>
        <v/>
      </c>
    </row>
    <row r="162" spans="4:5" x14ac:dyDescent="0.25">
      <c r="D162" t="str">
        <f t="shared" si="6"/>
        <v/>
      </c>
      <c r="E162" t="str">
        <f t="shared" si="7"/>
        <v/>
      </c>
    </row>
    <row r="163" spans="4:5" x14ac:dyDescent="0.25">
      <c r="D163" t="str">
        <f t="shared" si="6"/>
        <v/>
      </c>
      <c r="E163" t="str">
        <f t="shared" si="7"/>
        <v/>
      </c>
    </row>
    <row r="164" spans="4:5" x14ac:dyDescent="0.25">
      <c r="D164" t="str">
        <f t="shared" si="6"/>
        <v/>
      </c>
      <c r="E164" t="str">
        <f t="shared" si="7"/>
        <v/>
      </c>
    </row>
    <row r="165" spans="4:5" x14ac:dyDescent="0.25">
      <c r="D165" t="str">
        <f t="shared" si="6"/>
        <v/>
      </c>
      <c r="E165" t="str">
        <f t="shared" si="7"/>
        <v/>
      </c>
    </row>
    <row r="166" spans="4:5" x14ac:dyDescent="0.25">
      <c r="D166" t="str">
        <f t="shared" si="6"/>
        <v/>
      </c>
      <c r="E166" t="str">
        <f t="shared" si="7"/>
        <v/>
      </c>
    </row>
    <row r="167" spans="4:5" x14ac:dyDescent="0.25">
      <c r="D167" t="str">
        <f t="shared" si="6"/>
        <v/>
      </c>
      <c r="E167" t="str">
        <f t="shared" si="7"/>
        <v/>
      </c>
    </row>
    <row r="168" spans="4:5" x14ac:dyDescent="0.25">
      <c r="D168" t="str">
        <f t="shared" si="6"/>
        <v/>
      </c>
      <c r="E168" t="str">
        <f t="shared" si="7"/>
        <v/>
      </c>
    </row>
    <row r="169" spans="4:5" x14ac:dyDescent="0.25">
      <c r="D169" t="str">
        <f t="shared" si="6"/>
        <v/>
      </c>
      <c r="E169" t="str">
        <f t="shared" si="7"/>
        <v/>
      </c>
    </row>
    <row r="170" spans="4:5" x14ac:dyDescent="0.25">
      <c r="D170" t="str">
        <f t="shared" si="6"/>
        <v/>
      </c>
      <c r="E170" t="str">
        <f t="shared" si="7"/>
        <v/>
      </c>
    </row>
    <row r="171" spans="4:5" x14ac:dyDescent="0.25">
      <c r="D171" t="str">
        <f t="shared" si="6"/>
        <v/>
      </c>
      <c r="E171" t="str">
        <f t="shared" si="7"/>
        <v/>
      </c>
    </row>
    <row r="172" spans="4:5" x14ac:dyDescent="0.25">
      <c r="D172" t="str">
        <f t="shared" si="6"/>
        <v/>
      </c>
      <c r="E172" t="str">
        <f t="shared" si="7"/>
        <v/>
      </c>
    </row>
    <row r="173" spans="4:5" x14ac:dyDescent="0.25">
      <c r="D173" t="str">
        <f t="shared" si="6"/>
        <v/>
      </c>
      <c r="E173" t="str">
        <f t="shared" si="7"/>
        <v/>
      </c>
    </row>
    <row r="174" spans="4:5" x14ac:dyDescent="0.25">
      <c r="D174" t="str">
        <f t="shared" si="6"/>
        <v/>
      </c>
      <c r="E174" t="str">
        <f t="shared" si="7"/>
        <v/>
      </c>
    </row>
    <row r="175" spans="4:5" x14ac:dyDescent="0.25">
      <c r="D175" t="str">
        <f t="shared" si="6"/>
        <v/>
      </c>
      <c r="E175" t="str">
        <f t="shared" si="7"/>
        <v/>
      </c>
    </row>
    <row r="176" spans="4:5" x14ac:dyDescent="0.25">
      <c r="D176" t="str">
        <f t="shared" si="6"/>
        <v/>
      </c>
      <c r="E176" t="str">
        <f t="shared" si="7"/>
        <v/>
      </c>
    </row>
    <row r="177" spans="4:5" x14ac:dyDescent="0.25">
      <c r="D177" t="str">
        <f t="shared" si="6"/>
        <v/>
      </c>
      <c r="E177" t="str">
        <f t="shared" si="7"/>
        <v/>
      </c>
    </row>
    <row r="178" spans="4:5" x14ac:dyDescent="0.25">
      <c r="D178" t="str">
        <f t="shared" si="6"/>
        <v/>
      </c>
      <c r="E178" t="str">
        <f t="shared" si="7"/>
        <v/>
      </c>
    </row>
    <row r="179" spans="4:5" x14ac:dyDescent="0.25">
      <c r="D179" t="str">
        <f t="shared" si="6"/>
        <v/>
      </c>
      <c r="E179" t="str">
        <f t="shared" si="7"/>
        <v/>
      </c>
    </row>
    <row r="180" spans="4:5" x14ac:dyDescent="0.25">
      <c r="D180" t="str">
        <f t="shared" si="6"/>
        <v/>
      </c>
      <c r="E180" t="str">
        <f t="shared" si="7"/>
        <v/>
      </c>
    </row>
    <row r="181" spans="4:5" x14ac:dyDescent="0.25">
      <c r="D181" t="str">
        <f t="shared" si="6"/>
        <v/>
      </c>
      <c r="E181" t="str">
        <f t="shared" si="7"/>
        <v/>
      </c>
    </row>
    <row r="182" spans="4:5" x14ac:dyDescent="0.25">
      <c r="D182" t="str">
        <f t="shared" si="6"/>
        <v/>
      </c>
      <c r="E182" t="str">
        <f t="shared" si="7"/>
        <v/>
      </c>
    </row>
    <row r="183" spans="4:5" x14ac:dyDescent="0.25">
      <c r="D183" t="str">
        <f t="shared" si="6"/>
        <v/>
      </c>
      <c r="E183" t="str">
        <f t="shared" si="7"/>
        <v/>
      </c>
    </row>
    <row r="184" spans="4:5" x14ac:dyDescent="0.25">
      <c r="D184" t="str">
        <f t="shared" si="6"/>
        <v/>
      </c>
      <c r="E184" t="str">
        <f t="shared" si="7"/>
        <v/>
      </c>
    </row>
    <row r="185" spans="4:5" x14ac:dyDescent="0.25">
      <c r="D185" t="str">
        <f t="shared" si="6"/>
        <v/>
      </c>
      <c r="E185" t="str">
        <f t="shared" si="7"/>
        <v/>
      </c>
    </row>
    <row r="186" spans="4:5" x14ac:dyDescent="0.25">
      <c r="D186" t="str">
        <f t="shared" si="6"/>
        <v/>
      </c>
      <c r="E186" t="str">
        <f t="shared" si="7"/>
        <v/>
      </c>
    </row>
    <row r="187" spans="4:5" x14ac:dyDescent="0.25">
      <c r="D187" t="str">
        <f t="shared" si="6"/>
        <v/>
      </c>
      <c r="E187" t="str">
        <f t="shared" si="7"/>
        <v/>
      </c>
    </row>
    <row r="188" spans="4:5" x14ac:dyDescent="0.25">
      <c r="D188" t="str">
        <f t="shared" si="6"/>
        <v/>
      </c>
      <c r="E188" t="str">
        <f t="shared" si="7"/>
        <v/>
      </c>
    </row>
    <row r="189" spans="4:5" x14ac:dyDescent="0.25">
      <c r="D189" t="str">
        <f t="shared" si="6"/>
        <v/>
      </c>
      <c r="E189" t="str">
        <f t="shared" si="7"/>
        <v/>
      </c>
    </row>
    <row r="190" spans="4:5" x14ac:dyDescent="0.25">
      <c r="D190" t="str">
        <f t="shared" si="6"/>
        <v/>
      </c>
      <c r="E190" t="str">
        <f t="shared" si="7"/>
        <v/>
      </c>
    </row>
    <row r="191" spans="4:5" x14ac:dyDescent="0.25">
      <c r="D191" t="str">
        <f t="shared" si="6"/>
        <v/>
      </c>
      <c r="E191" t="str">
        <f t="shared" si="7"/>
        <v/>
      </c>
    </row>
    <row r="192" spans="4:5" x14ac:dyDescent="0.25">
      <c r="D192" t="str">
        <f t="shared" si="6"/>
        <v/>
      </c>
      <c r="E192" t="str">
        <f t="shared" si="7"/>
        <v/>
      </c>
    </row>
    <row r="193" spans="4:5" x14ac:dyDescent="0.25">
      <c r="D193" t="str">
        <f t="shared" si="6"/>
        <v/>
      </c>
      <c r="E193" t="str">
        <f t="shared" si="7"/>
        <v/>
      </c>
    </row>
    <row r="194" spans="4:5" x14ac:dyDescent="0.25">
      <c r="D194" t="str">
        <f t="shared" si="6"/>
        <v/>
      </c>
      <c r="E194" t="str">
        <f t="shared" si="7"/>
        <v/>
      </c>
    </row>
    <row r="195" spans="4:5" x14ac:dyDescent="0.25">
      <c r="D195" t="str">
        <f t="shared" si="6"/>
        <v/>
      </c>
      <c r="E195" t="str">
        <f t="shared" si="7"/>
        <v/>
      </c>
    </row>
    <row r="196" spans="4:5" x14ac:dyDescent="0.25">
      <c r="D196" t="str">
        <f t="shared" si="6"/>
        <v/>
      </c>
      <c r="E196" t="str">
        <f t="shared" si="7"/>
        <v/>
      </c>
    </row>
    <row r="197" spans="4:5" x14ac:dyDescent="0.25">
      <c r="D197" t="str">
        <f t="shared" si="6"/>
        <v/>
      </c>
      <c r="E197" t="str">
        <f t="shared" si="7"/>
        <v/>
      </c>
    </row>
    <row r="198" spans="4:5" x14ac:dyDescent="0.25">
      <c r="D198" t="str">
        <f t="shared" si="6"/>
        <v/>
      </c>
      <c r="E198" t="str">
        <f t="shared" si="7"/>
        <v/>
      </c>
    </row>
    <row r="199" spans="4:5" x14ac:dyDescent="0.25">
      <c r="D199" t="str">
        <f t="shared" si="6"/>
        <v/>
      </c>
      <c r="E199" t="str">
        <f t="shared" si="7"/>
        <v/>
      </c>
    </row>
    <row r="200" spans="4:5" x14ac:dyDescent="0.25">
      <c r="D200" t="str">
        <f t="shared" si="6"/>
        <v/>
      </c>
      <c r="E200" t="str">
        <f t="shared" si="7"/>
        <v/>
      </c>
    </row>
    <row r="201" spans="4:5" x14ac:dyDescent="0.25">
      <c r="D201" t="str">
        <f t="shared" si="6"/>
        <v/>
      </c>
      <c r="E201" t="str">
        <f t="shared" si="7"/>
        <v/>
      </c>
    </row>
    <row r="202" spans="4:5" x14ac:dyDescent="0.25">
      <c r="D202" t="str">
        <f t="shared" si="6"/>
        <v/>
      </c>
      <c r="E202" t="str">
        <f t="shared" si="7"/>
        <v/>
      </c>
    </row>
    <row r="203" spans="4:5" x14ac:dyDescent="0.25">
      <c r="D203" t="str">
        <f t="shared" si="6"/>
        <v/>
      </c>
      <c r="E203" t="str">
        <f t="shared" si="7"/>
        <v/>
      </c>
    </row>
    <row r="204" spans="4:5" x14ac:dyDescent="0.25">
      <c r="D204" t="str">
        <f t="shared" si="6"/>
        <v/>
      </c>
    </row>
    <row r="205" spans="4:5" x14ac:dyDescent="0.25">
      <c r="D205" t="str">
        <f t="shared" si="6"/>
        <v/>
      </c>
    </row>
    <row r="206" spans="4:5" x14ac:dyDescent="0.25">
      <c r="D206" t="str">
        <f t="shared" si="6"/>
        <v/>
      </c>
    </row>
    <row r="207" spans="4:5" x14ac:dyDescent="0.25">
      <c r="D207" t="str">
        <f t="shared" si="6"/>
        <v/>
      </c>
    </row>
    <row r="208" spans="4:5" x14ac:dyDescent="0.25">
      <c r="D208" t="str">
        <f t="shared" si="6"/>
        <v/>
      </c>
    </row>
    <row r="209" spans="4:4" x14ac:dyDescent="0.25">
      <c r="D209" t="str">
        <f t="shared" si="6"/>
        <v/>
      </c>
    </row>
    <row r="210" spans="4:4" x14ac:dyDescent="0.25">
      <c r="D210" t="str">
        <f t="shared" si="6"/>
        <v/>
      </c>
    </row>
    <row r="211" spans="4:4" x14ac:dyDescent="0.25">
      <c r="D211" t="str">
        <f t="shared" si="6"/>
        <v/>
      </c>
    </row>
    <row r="212" spans="4:4" x14ac:dyDescent="0.25">
      <c r="D212" t="str">
        <f t="shared" ref="D212:D236" si="8">IF(B212&gt;$B$4,IF(B212&lt;$B$5,B212,""),"")</f>
        <v/>
      </c>
    </row>
    <row r="213" spans="4:4" x14ac:dyDescent="0.25">
      <c r="D213" t="str">
        <f t="shared" si="8"/>
        <v/>
      </c>
    </row>
    <row r="214" spans="4:4" x14ac:dyDescent="0.25">
      <c r="D214" t="str">
        <f t="shared" si="8"/>
        <v/>
      </c>
    </row>
    <row r="215" spans="4:4" x14ac:dyDescent="0.25">
      <c r="D215" t="str">
        <f t="shared" si="8"/>
        <v/>
      </c>
    </row>
    <row r="216" spans="4:4" x14ac:dyDescent="0.25">
      <c r="D216" t="str">
        <f t="shared" si="8"/>
        <v/>
      </c>
    </row>
    <row r="217" spans="4:4" x14ac:dyDescent="0.25">
      <c r="D217" t="str">
        <f t="shared" si="8"/>
        <v/>
      </c>
    </row>
    <row r="218" spans="4:4" x14ac:dyDescent="0.25">
      <c r="D218" t="str">
        <f t="shared" si="8"/>
        <v/>
      </c>
    </row>
    <row r="219" spans="4:4" x14ac:dyDescent="0.25">
      <c r="D219" t="str">
        <f t="shared" si="8"/>
        <v/>
      </c>
    </row>
    <row r="220" spans="4:4" x14ac:dyDescent="0.25">
      <c r="D220" t="str">
        <f t="shared" si="8"/>
        <v/>
      </c>
    </row>
    <row r="221" spans="4:4" x14ac:dyDescent="0.25">
      <c r="D221" t="str">
        <f t="shared" si="8"/>
        <v/>
      </c>
    </row>
    <row r="222" spans="4:4" x14ac:dyDescent="0.25">
      <c r="D222" t="str">
        <f t="shared" si="8"/>
        <v/>
      </c>
    </row>
    <row r="223" spans="4:4" x14ac:dyDescent="0.25">
      <c r="D223" t="str">
        <f t="shared" si="8"/>
        <v/>
      </c>
    </row>
    <row r="224" spans="4:4" x14ac:dyDescent="0.25">
      <c r="D224" t="str">
        <f t="shared" si="8"/>
        <v/>
      </c>
    </row>
    <row r="225" spans="4:4" x14ac:dyDescent="0.25">
      <c r="D225" t="str">
        <f t="shared" si="8"/>
        <v/>
      </c>
    </row>
    <row r="226" spans="4:4" x14ac:dyDescent="0.25">
      <c r="D226" t="str">
        <f t="shared" si="8"/>
        <v/>
      </c>
    </row>
    <row r="227" spans="4:4" x14ac:dyDescent="0.25">
      <c r="D227" t="str">
        <f t="shared" si="8"/>
        <v/>
      </c>
    </row>
    <row r="228" spans="4:4" x14ac:dyDescent="0.25">
      <c r="D228" t="str">
        <f t="shared" si="8"/>
        <v/>
      </c>
    </row>
    <row r="229" spans="4:4" x14ac:dyDescent="0.25">
      <c r="D229" t="str">
        <f t="shared" si="8"/>
        <v/>
      </c>
    </row>
    <row r="230" spans="4:4" x14ac:dyDescent="0.25">
      <c r="D230" t="str">
        <f t="shared" si="8"/>
        <v/>
      </c>
    </row>
    <row r="231" spans="4:4" x14ac:dyDescent="0.25">
      <c r="D231" t="str">
        <f t="shared" si="8"/>
        <v/>
      </c>
    </row>
    <row r="232" spans="4:4" x14ac:dyDescent="0.25">
      <c r="D232" t="str">
        <f t="shared" si="8"/>
        <v/>
      </c>
    </row>
    <row r="233" spans="4:4" x14ac:dyDescent="0.25">
      <c r="D233" t="str">
        <f t="shared" si="8"/>
        <v/>
      </c>
    </row>
    <row r="234" spans="4:4" x14ac:dyDescent="0.25">
      <c r="D234" t="str">
        <f t="shared" si="8"/>
        <v/>
      </c>
    </row>
    <row r="235" spans="4:4" x14ac:dyDescent="0.25">
      <c r="D235" t="str">
        <f t="shared" si="8"/>
        <v/>
      </c>
    </row>
    <row r="236" spans="4:4" x14ac:dyDescent="0.25">
      <c r="D236" t="str">
        <f t="shared" si="8"/>
        <v/>
      </c>
    </row>
  </sheetData>
  <mergeCells count="2">
    <mergeCell ref="V1:Y1"/>
    <mergeCell ref="V2:Y2"/>
  </mergeCells>
  <dataValidations count="1">
    <dataValidation type="list" allowBlank="1" showInputMessage="1" showErrorMessage="1" sqref="E10">
      <formula1>"0,0.45,0.5,5"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gotomain">
                <anchor moveWithCells="1" sizeWithCells="1">
                  <from>
                    <xdr:col>2</xdr:col>
                    <xdr:colOff>447675</xdr:colOff>
                    <xdr:row>0</xdr:row>
                    <xdr:rowOff>152400</xdr:rowOff>
                  </from>
                  <to>
                    <xdr:col>4</xdr:col>
                    <xdr:colOff>47625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excav">
                <anchor moveWithCells="1" sizeWithCells="1">
                  <from>
                    <xdr:col>3</xdr:col>
                    <xdr:colOff>238125</xdr:colOff>
                    <xdr:row>4</xdr:row>
                    <xdr:rowOff>66675</xdr:rowOff>
                  </from>
                  <to>
                    <xdr:col>5</xdr:col>
                    <xdr:colOff>285750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E7:G10"/>
  <sheetViews>
    <sheetView workbookViewId="0">
      <selection activeCell="F12" sqref="F12"/>
    </sheetView>
  </sheetViews>
  <sheetFormatPr defaultRowHeight="15" x14ac:dyDescent="0.25"/>
  <sheetData>
    <row r="7" spans="5:7" x14ac:dyDescent="0.25">
      <c r="E7" s="100" t="s">
        <v>275</v>
      </c>
      <c r="F7" s="101" t="s">
        <v>275</v>
      </c>
      <c r="G7" s="102" t="s">
        <v>275</v>
      </c>
    </row>
    <row r="8" spans="5:7" x14ac:dyDescent="0.25">
      <c r="E8" s="103" t="s">
        <v>275</v>
      </c>
      <c r="F8" s="104" t="s">
        <v>275</v>
      </c>
      <c r="G8" s="105" t="s">
        <v>275</v>
      </c>
    </row>
    <row r="9" spans="5:7" x14ac:dyDescent="0.25">
      <c r="E9" s="103" t="s">
        <v>275</v>
      </c>
      <c r="F9" s="104" t="s">
        <v>275</v>
      </c>
      <c r="G9" s="105" t="s">
        <v>275</v>
      </c>
    </row>
    <row r="10" spans="5:7" x14ac:dyDescent="0.25">
      <c r="E10" s="106" t="s">
        <v>275</v>
      </c>
      <c r="F10" s="107" t="s">
        <v>275</v>
      </c>
      <c r="G10" s="108" t="s">
        <v>275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MakeTable">
                <anchor moveWithCells="1" sizeWithCells="1">
                  <from>
                    <xdr:col>1</xdr:col>
                    <xdr:colOff>523875</xdr:colOff>
                    <xdr:row>1</xdr:row>
                    <xdr:rowOff>9525</xdr:rowOff>
                  </from>
                  <to>
                    <xdr:col>3</xdr:col>
                    <xdr:colOff>495300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otomain">
                <anchor moveWithCells="1" sizeWithCells="1">
                  <from>
                    <xdr:col>6</xdr:col>
                    <xdr:colOff>257175</xdr:colOff>
                    <xdr:row>1</xdr:row>
                    <xdr:rowOff>133350</xdr:rowOff>
                  </from>
                  <to>
                    <xdr:col>7</xdr:col>
                    <xdr:colOff>600075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L23"/>
  <sheetViews>
    <sheetView topLeftCell="B1" zoomScale="85" zoomScaleNormal="85" workbookViewId="0">
      <selection activeCell="E23" sqref="E23"/>
    </sheetView>
  </sheetViews>
  <sheetFormatPr defaultRowHeight="15" x14ac:dyDescent="0.25"/>
  <cols>
    <col min="11" max="11" width="13.42578125" customWidth="1"/>
  </cols>
  <sheetData>
    <row r="2" spans="1:12" x14ac:dyDescent="0.25">
      <c r="C2">
        <f>(C6-0.6)*(F10/E10)</f>
        <v>1.0264163265504158</v>
      </c>
      <c r="F2" s="71" t="s">
        <v>133</v>
      </c>
      <c r="K2" s="85" t="s">
        <v>135</v>
      </c>
      <c r="L2" s="85"/>
    </row>
    <row r="3" spans="1:12" x14ac:dyDescent="0.25">
      <c r="F3" s="72" t="s">
        <v>134</v>
      </c>
      <c r="K3" s="46" t="s">
        <v>79</v>
      </c>
      <c r="L3" s="46" t="s">
        <v>80</v>
      </c>
    </row>
    <row r="4" spans="1:12" x14ac:dyDescent="0.25">
      <c r="A4" s="86" t="s">
        <v>189</v>
      </c>
      <c r="B4" s="88" t="s">
        <v>75</v>
      </c>
      <c r="C4" s="89"/>
      <c r="E4" s="46" t="s">
        <v>78</v>
      </c>
      <c r="F4" s="47">
        <v>0.2</v>
      </c>
      <c r="K4" s="47">
        <v>0.2</v>
      </c>
      <c r="L4" s="47">
        <v>0.2</v>
      </c>
    </row>
    <row r="5" spans="1:12" x14ac:dyDescent="0.25">
      <c r="A5" s="86"/>
      <c r="B5" s="1" t="s">
        <v>74</v>
      </c>
      <c r="C5" s="47">
        <v>0.4</v>
      </c>
      <c r="E5" s="47" t="s">
        <v>80</v>
      </c>
      <c r="G5">
        <v>15</v>
      </c>
      <c r="J5" s="60" t="s">
        <v>114</v>
      </c>
      <c r="K5" s="61"/>
      <c r="L5" s="62"/>
    </row>
    <row r="6" spans="1:12" x14ac:dyDescent="0.25">
      <c r="A6" s="87" t="s">
        <v>137</v>
      </c>
      <c r="B6" s="1" t="s">
        <v>76</v>
      </c>
      <c r="C6">
        <v>3.1660408163760394</v>
      </c>
      <c r="J6" s="66" t="s">
        <v>113</v>
      </c>
      <c r="K6" s="65"/>
      <c r="L6" s="63"/>
    </row>
    <row r="7" spans="1:12" x14ac:dyDescent="0.25">
      <c r="A7" s="87"/>
      <c r="B7" s="1" t="s">
        <v>77</v>
      </c>
      <c r="C7" s="1">
        <f>C6*(F10/E10)+C5</f>
        <v>1.6664163265504159</v>
      </c>
      <c r="G7" s="48"/>
      <c r="H7" s="48" t="s">
        <v>84</v>
      </c>
      <c r="J7" s="22" t="s">
        <v>84</v>
      </c>
      <c r="K7" s="22" t="s">
        <v>112</v>
      </c>
      <c r="L7" s="64"/>
    </row>
    <row r="8" spans="1:12" x14ac:dyDescent="0.25">
      <c r="A8" s="87" t="s">
        <v>89</v>
      </c>
      <c r="B8" s="1" t="s">
        <v>191</v>
      </c>
      <c r="C8" s="1">
        <f>(C6-0.75)*(F11/E11)+0.45+(C6-0.75)*(F10/E10)+0.15</f>
        <v>2.4724316326914306</v>
      </c>
      <c r="D8" s="86" t="s">
        <v>188</v>
      </c>
      <c r="E8" s="86" t="s">
        <v>24</v>
      </c>
      <c r="F8" s="82"/>
      <c r="G8" s="49" t="s">
        <v>82</v>
      </c>
      <c r="H8" s="49" t="s">
        <v>83</v>
      </c>
      <c r="I8" s="74" t="s">
        <v>115</v>
      </c>
      <c r="J8">
        <v>3.4893345063595049</v>
      </c>
      <c r="K8" s="44" t="s">
        <v>250</v>
      </c>
    </row>
    <row r="9" spans="1:12" x14ac:dyDescent="0.25">
      <c r="A9" s="87"/>
      <c r="B9" s="1" t="s">
        <v>190</v>
      </c>
      <c r="C9" s="1">
        <f>(C6-0.75)*(F11/E11)</f>
        <v>0.90601530614101478</v>
      </c>
      <c r="D9" s="86"/>
      <c r="E9" s="45" t="s">
        <v>81</v>
      </c>
      <c r="F9" s="45" t="s">
        <v>23</v>
      </c>
      <c r="G9" s="73">
        <f>C6/G5</f>
        <v>0.21106938775840262</v>
      </c>
      <c r="H9" s="73">
        <f>G9/2</f>
        <v>0.10553469387920131</v>
      </c>
      <c r="J9">
        <v>3.4507578952366842</v>
      </c>
      <c r="K9" s="44" t="s">
        <v>251</v>
      </c>
    </row>
    <row r="10" spans="1:12" x14ac:dyDescent="0.25">
      <c r="D10" s="45" t="s">
        <v>137</v>
      </c>
      <c r="E10" s="47">
        <v>2.5</v>
      </c>
      <c r="F10" s="47">
        <v>1</v>
      </c>
      <c r="J10">
        <v>3.1326566221528793</v>
      </c>
      <c r="K10" s="44" t="s">
        <v>252</v>
      </c>
    </row>
    <row r="11" spans="1:12" x14ac:dyDescent="0.25">
      <c r="D11" s="45" t="s">
        <v>89</v>
      </c>
      <c r="E11" s="47">
        <v>4</v>
      </c>
      <c r="F11" s="47">
        <v>1.5</v>
      </c>
      <c r="J11">
        <v>3.4009202068916586</v>
      </c>
      <c r="K11" s="44" t="s">
        <v>254</v>
      </c>
    </row>
    <row r="12" spans="1:12" x14ac:dyDescent="0.25">
      <c r="D12" t="s">
        <v>192</v>
      </c>
      <c r="E12">
        <v>2.5</v>
      </c>
      <c r="F12">
        <v>1</v>
      </c>
      <c r="G12" s="48" t="s">
        <v>86</v>
      </c>
      <c r="J12">
        <v>3.4263269212198431</v>
      </c>
      <c r="K12" s="44" t="s">
        <v>255</v>
      </c>
    </row>
    <row r="13" spans="1:12" x14ac:dyDescent="0.25">
      <c r="C13" s="1" t="s">
        <v>38</v>
      </c>
      <c r="D13" s="1" t="s">
        <v>39</v>
      </c>
      <c r="G13" s="49" t="s">
        <v>85</v>
      </c>
      <c r="J13">
        <v>3.5223755913177399</v>
      </c>
      <c r="K13" s="44" t="s">
        <v>256</v>
      </c>
    </row>
    <row r="14" spans="1:12" x14ac:dyDescent="0.25">
      <c r="C14" s="1">
        <v>-164.9690848013035</v>
      </c>
      <c r="D14" s="1">
        <v>204.95252048802644</v>
      </c>
      <c r="G14" s="47">
        <v>0.02</v>
      </c>
      <c r="J14">
        <v>3.4163269085626524</v>
      </c>
      <c r="K14" s="44" t="s">
        <v>257</v>
      </c>
    </row>
    <row r="15" spans="1:12" x14ac:dyDescent="0.25">
      <c r="C15">
        <v>-165.18015418906191</v>
      </c>
      <c r="D15">
        <v>204.42484701863037</v>
      </c>
      <c r="E15">
        <f>D15-D14</f>
        <v>-0.52767346939606341</v>
      </c>
      <c r="J15">
        <v>3.1769436354699891</v>
      </c>
      <c r="K15" s="44" t="s">
        <v>259</v>
      </c>
    </row>
    <row r="16" spans="1:12" x14ac:dyDescent="0.25">
      <c r="G16" s="86" t="s">
        <v>186</v>
      </c>
      <c r="H16" s="86"/>
      <c r="J16">
        <v>4.0733000000000175</v>
      </c>
      <c r="K16" s="44" t="s">
        <v>261</v>
      </c>
    </row>
    <row r="17" spans="7:11" x14ac:dyDescent="0.25">
      <c r="G17" s="76" t="s">
        <v>187</v>
      </c>
      <c r="H17" s="1" t="s">
        <v>272</v>
      </c>
      <c r="J17">
        <v>3.1660408163760394</v>
      </c>
      <c r="K17" s="44" t="s">
        <v>262</v>
      </c>
    </row>
    <row r="18" spans="7:11" x14ac:dyDescent="0.25">
      <c r="J18" s="1"/>
      <c r="K18" s="44"/>
    </row>
    <row r="19" spans="7:11" x14ac:dyDescent="0.25">
      <c r="J19" s="1"/>
      <c r="K19" s="57"/>
    </row>
    <row r="20" spans="7:11" x14ac:dyDescent="0.25">
      <c r="J20" s="1"/>
      <c r="K20" s="44"/>
    </row>
    <row r="21" spans="7:11" x14ac:dyDescent="0.25">
      <c r="J21" s="1"/>
      <c r="K21" s="44"/>
    </row>
    <row r="22" spans="7:11" x14ac:dyDescent="0.25">
      <c r="J22" s="1"/>
      <c r="K22" s="44"/>
    </row>
    <row r="23" spans="7:11" x14ac:dyDescent="0.25">
      <c r="J23" s="1"/>
      <c r="K23" s="44"/>
    </row>
  </sheetData>
  <mergeCells count="8">
    <mergeCell ref="K2:L2"/>
    <mergeCell ref="G16:H16"/>
    <mergeCell ref="D8:D9"/>
    <mergeCell ref="A6:A7"/>
    <mergeCell ref="A8:A9"/>
    <mergeCell ref="A4:A5"/>
    <mergeCell ref="E8:F8"/>
    <mergeCell ref="B4:C4"/>
  </mergeCells>
  <dataValidations count="2">
    <dataValidation type="list" allowBlank="1" showInputMessage="1" showErrorMessage="1" sqref="E5">
      <formula1>"R,L"</formula1>
    </dataValidation>
    <dataValidation type="list" allowBlank="1" showInputMessage="1" showErrorMessage="1" sqref="H17">
      <formula1>"ord,Fik"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gotomain">
                <anchor moveWithCells="1" sizeWithCells="1">
                  <from>
                    <xdr:col>7</xdr:col>
                    <xdr:colOff>200025</xdr:colOff>
                    <xdr:row>0</xdr:row>
                    <xdr:rowOff>171450</xdr:rowOff>
                  </from>
                  <to>
                    <xdr:col>8</xdr:col>
                    <xdr:colOff>542925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5" name="Button 10">
              <controlPr defaultSize="0" print="0" autoFill="0" autoPict="0" macro="[0]!MS_RW">
                <anchor moveWithCells="1" sizeWithCells="1">
                  <from>
                    <xdr:col>0</xdr:col>
                    <xdr:colOff>228600</xdr:colOff>
                    <xdr:row>10</xdr:row>
                    <xdr:rowOff>66675</xdr:rowOff>
                  </from>
                  <to>
                    <xdr:col>2</xdr:col>
                    <xdr:colOff>457200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62"/>
  <sheetViews>
    <sheetView workbookViewId="0">
      <selection activeCell="D7" sqref="D7"/>
    </sheetView>
  </sheetViews>
  <sheetFormatPr defaultRowHeight="15" x14ac:dyDescent="0.25"/>
  <cols>
    <col min="1" max="1" width="2.42578125" style="5" customWidth="1"/>
    <col min="2" max="2" width="4" style="5" customWidth="1"/>
    <col min="3" max="3" width="6.28515625" style="5" customWidth="1"/>
    <col min="4" max="8" width="6.140625" style="5" customWidth="1"/>
    <col min="9" max="10" width="6" style="5" customWidth="1"/>
    <col min="11" max="11" width="7" style="5" bestFit="1" customWidth="1"/>
    <col min="12" max="12" width="8.7109375" style="5" bestFit="1" customWidth="1"/>
    <col min="13" max="13" width="7.5703125" style="5" customWidth="1"/>
    <col min="14" max="15" width="6.85546875" style="5" customWidth="1"/>
    <col min="16" max="16" width="5" style="5" customWidth="1"/>
    <col min="17" max="18" width="5.7109375" style="5" customWidth="1"/>
    <col min="19" max="16384" width="9.140625" style="5"/>
  </cols>
  <sheetData>
    <row r="1" spans="1:15" ht="18" customHeight="1" x14ac:dyDescent="0.25">
      <c r="A1" s="90" t="s">
        <v>87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</row>
    <row r="2" spans="1:15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</row>
    <row r="3" spans="1:15" x14ac:dyDescent="0.25">
      <c r="A3" s="50"/>
      <c r="B3" s="50"/>
      <c r="C3" s="50"/>
      <c r="D3" s="50"/>
      <c r="E3" s="50"/>
      <c r="F3" s="50"/>
      <c r="G3" s="50"/>
      <c r="H3" s="50"/>
      <c r="I3" s="51"/>
      <c r="J3" s="50"/>
      <c r="K3" s="50"/>
      <c r="L3" s="46" t="s">
        <v>88</v>
      </c>
      <c r="M3" s="4" t="s">
        <v>137</v>
      </c>
      <c r="N3" s="50"/>
      <c r="O3" s="50"/>
    </row>
    <row r="4" spans="1:15" x14ac:dyDescent="0.25">
      <c r="A4" s="50"/>
      <c r="B4" s="50"/>
      <c r="C4" s="50" t="s">
        <v>90</v>
      </c>
      <c r="D4" s="46" t="s">
        <v>24</v>
      </c>
      <c r="E4" s="4">
        <v>2.5</v>
      </c>
      <c r="F4" s="50"/>
      <c r="G4" s="50"/>
      <c r="H4" s="50"/>
      <c r="I4" s="50"/>
      <c r="J4" s="50"/>
      <c r="K4" s="50"/>
      <c r="L4" s="46" t="s">
        <v>91</v>
      </c>
      <c r="M4" s="4" t="s">
        <v>136</v>
      </c>
      <c r="N4" s="50"/>
      <c r="O4" s="50"/>
    </row>
    <row r="5" spans="1:15" x14ac:dyDescent="0.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</row>
    <row r="6" spans="1:15" ht="15" customHeight="1" x14ac:dyDescent="0.25">
      <c r="A6" s="50"/>
      <c r="B6" s="91" t="s">
        <v>92</v>
      </c>
      <c r="C6" s="92"/>
      <c r="D6" s="92"/>
      <c r="E6" s="92"/>
      <c r="F6" s="92"/>
      <c r="G6" s="92"/>
      <c r="H6" s="92"/>
      <c r="I6" s="92"/>
      <c r="J6" s="92"/>
      <c r="K6" s="92"/>
      <c r="L6" s="92"/>
      <c r="M6" s="93"/>
      <c r="N6" s="50"/>
      <c r="O6" s="50"/>
    </row>
    <row r="7" spans="1:15" x14ac:dyDescent="0.25">
      <c r="A7" s="50"/>
      <c r="B7" s="52" t="s">
        <v>23</v>
      </c>
      <c r="C7" s="54">
        <v>2</v>
      </c>
      <c r="D7" s="53">
        <v>3</v>
      </c>
      <c r="E7" s="54">
        <v>4</v>
      </c>
      <c r="F7" s="54">
        <v>5</v>
      </c>
      <c r="G7" s="54">
        <v>6</v>
      </c>
      <c r="H7" s="54">
        <v>7</v>
      </c>
      <c r="I7" s="54">
        <v>8</v>
      </c>
      <c r="J7" s="54">
        <v>9</v>
      </c>
      <c r="K7" s="54">
        <v>10</v>
      </c>
      <c r="L7" s="54">
        <v>11</v>
      </c>
      <c r="M7" s="54">
        <v>12</v>
      </c>
      <c r="N7" s="50"/>
      <c r="O7" s="50"/>
    </row>
    <row r="8" spans="1:15" x14ac:dyDescent="0.25">
      <c r="A8" s="50"/>
      <c r="B8" s="52" t="s">
        <v>93</v>
      </c>
      <c r="C8" s="54">
        <v>0.25</v>
      </c>
      <c r="D8" s="54">
        <v>0.25</v>
      </c>
      <c r="E8" s="54">
        <v>0.25</v>
      </c>
      <c r="F8" s="54">
        <v>0.25</v>
      </c>
      <c r="G8" s="54">
        <v>0.25</v>
      </c>
      <c r="H8" s="54">
        <v>0.25</v>
      </c>
      <c r="I8" s="54">
        <v>0.25</v>
      </c>
      <c r="J8" s="54">
        <v>0.25</v>
      </c>
      <c r="K8" s="54">
        <v>0.25</v>
      </c>
      <c r="L8" s="54">
        <v>0.25</v>
      </c>
      <c r="M8" s="54">
        <v>0.25</v>
      </c>
      <c r="N8" s="50"/>
      <c r="O8" s="50"/>
    </row>
    <row r="9" spans="1:15" x14ac:dyDescent="0.25">
      <c r="A9" s="50"/>
      <c r="B9" s="52" t="s">
        <v>94</v>
      </c>
      <c r="C9" s="54">
        <v>0.25</v>
      </c>
      <c r="D9" s="54">
        <v>0.3</v>
      </c>
      <c r="E9" s="54">
        <v>0.35</v>
      </c>
      <c r="F9" s="54">
        <v>0.4</v>
      </c>
      <c r="G9" s="54">
        <v>0.45</v>
      </c>
      <c r="H9" s="54">
        <v>0.5</v>
      </c>
      <c r="I9" s="54">
        <v>0.7</v>
      </c>
      <c r="J9" s="54">
        <v>0.9</v>
      </c>
      <c r="K9" s="54">
        <v>1</v>
      </c>
      <c r="L9" s="54">
        <v>1.1000000000000001</v>
      </c>
      <c r="M9" s="54">
        <v>1.2</v>
      </c>
      <c r="N9" s="50"/>
      <c r="O9" s="50"/>
    </row>
    <row r="10" spans="1:15" ht="15.75" customHeight="1" x14ac:dyDescent="0.25">
      <c r="A10" s="50"/>
      <c r="B10" s="52" t="s">
        <v>95</v>
      </c>
      <c r="C10" s="54">
        <v>0.2</v>
      </c>
      <c r="D10" s="54">
        <v>0.2</v>
      </c>
      <c r="E10" s="54">
        <v>0.21</v>
      </c>
      <c r="F10" s="54">
        <v>0.22</v>
      </c>
      <c r="G10" s="54">
        <v>0.3</v>
      </c>
      <c r="H10" s="54">
        <v>0.35</v>
      </c>
      <c r="I10" s="54">
        <v>0.4</v>
      </c>
      <c r="J10" s="54">
        <v>0.45</v>
      </c>
      <c r="K10" s="54">
        <v>0.5</v>
      </c>
      <c r="L10" s="54">
        <v>0.55000000000000004</v>
      </c>
      <c r="M10" s="54">
        <v>0.6</v>
      </c>
      <c r="N10" s="50"/>
      <c r="O10" s="50"/>
    </row>
    <row r="11" spans="1:15" x14ac:dyDescent="0.25">
      <c r="A11" s="50"/>
      <c r="B11" s="52" t="s">
        <v>96</v>
      </c>
      <c r="C11" s="54">
        <v>0.21</v>
      </c>
      <c r="D11" s="54">
        <v>0.24</v>
      </c>
      <c r="E11" s="54">
        <v>0.28000000000000003</v>
      </c>
      <c r="F11" s="54">
        <v>0.32</v>
      </c>
      <c r="G11" s="54">
        <v>0.4</v>
      </c>
      <c r="H11" s="54">
        <v>0.45</v>
      </c>
      <c r="I11" s="54">
        <v>0.55000000000000004</v>
      </c>
      <c r="J11" s="54">
        <v>0.6</v>
      </c>
      <c r="K11" s="54">
        <v>0.7</v>
      </c>
      <c r="L11" s="54">
        <v>0.8</v>
      </c>
      <c r="M11" s="54">
        <v>0.9</v>
      </c>
      <c r="N11" s="50"/>
      <c r="O11" s="50"/>
    </row>
    <row r="12" spans="1:15" x14ac:dyDescent="0.25">
      <c r="A12" s="50"/>
      <c r="B12" s="52" t="s">
        <v>97</v>
      </c>
      <c r="C12" s="54">
        <v>0.25</v>
      </c>
      <c r="D12" s="54">
        <v>0.3</v>
      </c>
      <c r="E12" s="54">
        <v>0.35</v>
      </c>
      <c r="F12" s="54">
        <v>0.4</v>
      </c>
      <c r="G12" s="54">
        <v>0.5</v>
      </c>
      <c r="H12" s="54">
        <v>0.6</v>
      </c>
      <c r="I12" s="54">
        <v>0.7</v>
      </c>
      <c r="J12" s="54">
        <v>0.8</v>
      </c>
      <c r="K12" s="54">
        <v>0.9</v>
      </c>
      <c r="L12" s="54">
        <v>1</v>
      </c>
      <c r="M12" s="54">
        <v>1.1000000000000001</v>
      </c>
      <c r="N12" s="50"/>
      <c r="O12" s="50"/>
    </row>
    <row r="13" spans="1:15" x14ac:dyDescent="0.25">
      <c r="A13" s="50"/>
      <c r="B13" s="52" t="s">
        <v>98</v>
      </c>
      <c r="C13" s="54">
        <v>0.05</v>
      </c>
      <c r="D13" s="54">
        <v>0.1</v>
      </c>
      <c r="E13" s="54">
        <v>0.14000000000000001</v>
      </c>
      <c r="F13" s="54">
        <v>0.18</v>
      </c>
      <c r="G13" s="54">
        <v>0.21</v>
      </c>
      <c r="H13" s="54">
        <v>0.25</v>
      </c>
      <c r="I13" s="54">
        <v>0.3</v>
      </c>
      <c r="J13" s="54">
        <v>0.35</v>
      </c>
      <c r="K13" s="54">
        <v>0.4</v>
      </c>
      <c r="L13" s="54">
        <v>0.45</v>
      </c>
      <c r="M13" s="54">
        <v>0.5</v>
      </c>
      <c r="N13" s="50"/>
      <c r="O13" s="50"/>
    </row>
    <row r="14" spans="1:15" x14ac:dyDescent="0.25">
      <c r="A14" s="50"/>
      <c r="B14" s="52" t="s">
        <v>99</v>
      </c>
      <c r="C14" s="54">
        <v>0</v>
      </c>
      <c r="D14" s="54">
        <v>0</v>
      </c>
      <c r="E14" s="54">
        <v>0</v>
      </c>
      <c r="F14" s="54">
        <v>0</v>
      </c>
      <c r="G14" s="54">
        <v>0.2</v>
      </c>
      <c r="H14" s="54">
        <v>0.25</v>
      </c>
      <c r="I14" s="54">
        <v>0.35</v>
      </c>
      <c r="J14" s="54">
        <v>0.5</v>
      </c>
      <c r="K14" s="54">
        <v>0.6</v>
      </c>
      <c r="L14" s="54">
        <v>0.7</v>
      </c>
      <c r="M14" s="54">
        <v>0.7</v>
      </c>
      <c r="N14" s="50"/>
      <c r="O14" s="50"/>
    </row>
    <row r="15" spans="1:15" x14ac:dyDescent="0.25">
      <c r="A15" s="50"/>
      <c r="B15" s="52" t="s">
        <v>100</v>
      </c>
      <c r="C15" s="54">
        <v>0</v>
      </c>
      <c r="D15" s="54">
        <v>0</v>
      </c>
      <c r="E15" s="54">
        <v>0</v>
      </c>
      <c r="F15" s="54">
        <v>0</v>
      </c>
      <c r="G15" s="54">
        <v>0.25</v>
      </c>
      <c r="H15" s="54">
        <v>0.25</v>
      </c>
      <c r="I15" s="54">
        <v>0.4</v>
      </c>
      <c r="J15" s="54">
        <v>0.4</v>
      </c>
      <c r="K15" s="54">
        <v>0.6</v>
      </c>
      <c r="L15" s="54">
        <v>0.7</v>
      </c>
      <c r="M15" s="54">
        <v>0.8</v>
      </c>
      <c r="N15" s="50"/>
      <c r="O15" s="50"/>
    </row>
    <row r="16" spans="1:15" x14ac:dyDescent="0.25">
      <c r="A16" s="50"/>
      <c r="B16" s="52" t="s">
        <v>101</v>
      </c>
      <c r="C16" s="54">
        <v>0.8</v>
      </c>
      <c r="D16" s="54">
        <v>1.2</v>
      </c>
      <c r="E16" s="54">
        <v>1.4</v>
      </c>
      <c r="F16" s="54">
        <v>1.8</v>
      </c>
      <c r="G16" s="54">
        <v>2.0499999999999998</v>
      </c>
      <c r="H16" s="54">
        <v>2.25</v>
      </c>
      <c r="I16" s="54">
        <v>2.2000000000000002</v>
      </c>
      <c r="J16" s="54">
        <v>2.6</v>
      </c>
      <c r="K16" s="54">
        <v>0.3</v>
      </c>
      <c r="L16" s="54">
        <v>3.2</v>
      </c>
      <c r="M16" s="54">
        <v>3.4</v>
      </c>
      <c r="N16" s="50"/>
      <c r="O16" s="50"/>
    </row>
    <row r="17" spans="1:16" x14ac:dyDescent="0.25">
      <c r="A17" s="50"/>
      <c r="B17" s="52" t="s">
        <v>102</v>
      </c>
      <c r="C17" s="54">
        <v>0.45</v>
      </c>
      <c r="D17" s="54">
        <v>0.6</v>
      </c>
      <c r="E17" s="54">
        <v>0.75</v>
      </c>
      <c r="F17" s="54">
        <v>0.8</v>
      </c>
      <c r="G17" s="54">
        <v>1</v>
      </c>
      <c r="H17" s="54">
        <v>1.2</v>
      </c>
      <c r="I17" s="54">
        <v>1.2</v>
      </c>
      <c r="J17" s="54">
        <v>1.5</v>
      </c>
      <c r="K17" s="54">
        <v>2</v>
      </c>
      <c r="L17" s="54">
        <v>2.4</v>
      </c>
      <c r="M17" s="54">
        <v>2.7</v>
      </c>
      <c r="N17" s="50"/>
      <c r="O17" s="50"/>
    </row>
    <row r="18" spans="1:16" x14ac:dyDescent="0.25">
      <c r="A18" s="50"/>
      <c r="B18" s="52" t="s">
        <v>80</v>
      </c>
      <c r="C18" s="54">
        <v>1.5</v>
      </c>
      <c r="D18" s="54">
        <v>2.1</v>
      </c>
      <c r="E18" s="54">
        <v>2.5</v>
      </c>
      <c r="F18" s="54">
        <v>3</v>
      </c>
      <c r="G18" s="54">
        <v>3.5</v>
      </c>
      <c r="H18" s="54">
        <v>3.95</v>
      </c>
      <c r="I18" s="54">
        <v>4.0999999999999996</v>
      </c>
      <c r="J18" s="54">
        <v>5</v>
      </c>
      <c r="K18" s="54">
        <v>6</v>
      </c>
      <c r="L18" s="54">
        <v>6.7</v>
      </c>
      <c r="M18" s="54">
        <v>7.3</v>
      </c>
      <c r="N18" s="50"/>
      <c r="O18" s="50"/>
    </row>
    <row r="19" spans="1:16" x14ac:dyDescent="0.25">
      <c r="A19" s="50"/>
      <c r="B19" s="52" t="s">
        <v>103</v>
      </c>
      <c r="C19" s="54">
        <v>1.36</v>
      </c>
      <c r="D19" s="54">
        <v>1.99</v>
      </c>
      <c r="E19" s="54">
        <v>2.63</v>
      </c>
      <c r="F19" s="54">
        <v>3.1</v>
      </c>
      <c r="G19" s="54">
        <v>3.71</v>
      </c>
      <c r="H19" s="54">
        <v>4.16</v>
      </c>
      <c r="I19" s="54">
        <v>4.6100000000000003</v>
      </c>
      <c r="J19" s="54">
        <v>5.5</v>
      </c>
      <c r="K19" s="54">
        <v>6</v>
      </c>
      <c r="L19" s="54">
        <v>6.5</v>
      </c>
      <c r="M19" s="54">
        <v>7</v>
      </c>
      <c r="N19" s="50"/>
      <c r="O19" s="50"/>
    </row>
    <row r="20" spans="1:16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</row>
    <row r="21" spans="1:16" ht="15.75" x14ac:dyDescent="0.25">
      <c r="A21" s="94" t="s">
        <v>104</v>
      </c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</row>
    <row r="22" spans="1:16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</row>
    <row r="23" spans="1:16" x14ac:dyDescent="0.25">
      <c r="A23" s="50"/>
      <c r="B23" s="50"/>
      <c r="C23" s="50" t="s">
        <v>90</v>
      </c>
      <c r="D23" s="46" t="s">
        <v>24</v>
      </c>
      <c r="E23" s="4">
        <v>3.5</v>
      </c>
      <c r="F23" s="50"/>
      <c r="G23" s="50"/>
      <c r="H23" s="50"/>
      <c r="I23" s="50"/>
      <c r="J23" s="50"/>
      <c r="K23" s="50"/>
      <c r="L23" s="46" t="s">
        <v>88</v>
      </c>
      <c r="M23" s="4" t="s">
        <v>89</v>
      </c>
      <c r="N23" s="50"/>
      <c r="O23" s="50"/>
    </row>
    <row r="24" spans="1:16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5"/>
    </row>
    <row r="25" spans="1:16" ht="15" customHeight="1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5"/>
    </row>
    <row r="26" spans="1:16" ht="15" customHeight="1" x14ac:dyDescent="0.25">
      <c r="A26" s="50"/>
      <c r="B26" s="95" t="s">
        <v>105</v>
      </c>
      <c r="C26" s="96"/>
      <c r="D26" s="96"/>
      <c r="E26" s="96"/>
      <c r="F26" s="97"/>
      <c r="G26" s="50"/>
      <c r="H26" s="95" t="s">
        <v>106</v>
      </c>
      <c r="I26" s="98"/>
      <c r="J26" s="98"/>
      <c r="K26" s="98"/>
      <c r="L26" s="98"/>
      <c r="M26" s="99"/>
      <c r="N26" s="50"/>
      <c r="O26" s="50"/>
      <c r="P26" s="55"/>
    </row>
    <row r="27" spans="1:16" x14ac:dyDescent="0.25">
      <c r="A27" s="50"/>
      <c r="B27" s="52" t="s">
        <v>23</v>
      </c>
      <c r="C27" s="54">
        <v>2</v>
      </c>
      <c r="D27" s="54">
        <v>3</v>
      </c>
      <c r="E27" s="54">
        <v>4</v>
      </c>
      <c r="F27" s="54">
        <v>5</v>
      </c>
      <c r="G27" s="51"/>
      <c r="H27" s="56" t="s">
        <v>23</v>
      </c>
      <c r="I27" s="54">
        <v>2</v>
      </c>
      <c r="J27" s="54">
        <v>3</v>
      </c>
      <c r="K27" s="53">
        <v>4</v>
      </c>
      <c r="L27" s="54">
        <v>5</v>
      </c>
      <c r="M27" s="54">
        <v>6</v>
      </c>
      <c r="N27" s="50"/>
      <c r="O27" s="50"/>
      <c r="P27" s="55"/>
    </row>
    <row r="28" spans="1:16" x14ac:dyDescent="0.25">
      <c r="A28" s="50"/>
      <c r="B28" s="52" t="s">
        <v>93</v>
      </c>
      <c r="C28" s="54">
        <v>0.25</v>
      </c>
      <c r="D28" s="54">
        <v>0.25</v>
      </c>
      <c r="E28" s="54">
        <v>0.25</v>
      </c>
      <c r="F28" s="54">
        <v>0.25</v>
      </c>
      <c r="G28" s="50"/>
      <c r="H28" s="52" t="s">
        <v>93</v>
      </c>
      <c r="I28" s="54">
        <v>0.25</v>
      </c>
      <c r="J28" s="54">
        <v>0.25</v>
      </c>
      <c r="K28" s="54">
        <v>0.25</v>
      </c>
      <c r="L28" s="54">
        <v>0.25</v>
      </c>
      <c r="M28" s="54">
        <v>0.25</v>
      </c>
      <c r="N28" s="50"/>
      <c r="O28" s="50"/>
      <c r="P28" s="55"/>
    </row>
    <row r="29" spans="1:16" x14ac:dyDescent="0.25">
      <c r="A29" s="50"/>
      <c r="B29" s="52" t="s">
        <v>94</v>
      </c>
      <c r="C29" s="54">
        <v>0.35</v>
      </c>
      <c r="D29" s="54">
        <v>0.35</v>
      </c>
      <c r="E29" s="54">
        <v>0.4</v>
      </c>
      <c r="F29" s="54">
        <v>0.45</v>
      </c>
      <c r="G29" s="50"/>
      <c r="H29" s="52" t="s">
        <v>94</v>
      </c>
      <c r="I29" s="54">
        <v>0.35</v>
      </c>
      <c r="J29" s="54">
        <v>0.35</v>
      </c>
      <c r="K29" s="54">
        <v>0.4</v>
      </c>
      <c r="L29" s="54">
        <v>0.45</v>
      </c>
      <c r="M29" s="54">
        <v>0.5</v>
      </c>
      <c r="N29" s="50"/>
      <c r="O29" s="50"/>
      <c r="P29" s="55"/>
    </row>
    <row r="30" spans="1:16" x14ac:dyDescent="0.25">
      <c r="A30" s="50"/>
      <c r="B30" s="52" t="s">
        <v>95</v>
      </c>
      <c r="C30" s="54">
        <v>0.35</v>
      </c>
      <c r="D30" s="54">
        <v>0.4</v>
      </c>
      <c r="E30" s="54">
        <v>0.4</v>
      </c>
      <c r="F30" s="54">
        <v>0.7</v>
      </c>
      <c r="G30" s="50"/>
      <c r="H30" s="52" t="s">
        <v>95</v>
      </c>
      <c r="I30" s="54">
        <v>0.3</v>
      </c>
      <c r="J30" s="54">
        <v>0.3</v>
      </c>
      <c r="K30" s="54">
        <v>0.3</v>
      </c>
      <c r="L30" s="54">
        <v>0.4</v>
      </c>
      <c r="M30" s="54">
        <v>0.5</v>
      </c>
      <c r="N30" s="50"/>
      <c r="O30" s="50"/>
      <c r="P30" s="55"/>
    </row>
    <row r="31" spans="1:16" x14ac:dyDescent="0.25">
      <c r="A31" s="50"/>
      <c r="B31" s="52" t="s">
        <v>96</v>
      </c>
      <c r="C31" s="54">
        <v>0.35</v>
      </c>
      <c r="D31" s="54">
        <v>0.3</v>
      </c>
      <c r="E31" s="54">
        <v>0.3</v>
      </c>
      <c r="F31" s="54">
        <v>0.3</v>
      </c>
      <c r="G31" s="50"/>
      <c r="H31" s="52" t="s">
        <v>97</v>
      </c>
      <c r="I31" s="54">
        <v>0.4</v>
      </c>
      <c r="J31" s="54">
        <v>0.4</v>
      </c>
      <c r="K31" s="54">
        <v>0.4</v>
      </c>
      <c r="L31" s="54">
        <v>0.55000000000000004</v>
      </c>
      <c r="M31" s="54">
        <v>0.75</v>
      </c>
      <c r="N31" s="50"/>
      <c r="O31" s="50"/>
      <c r="P31" s="55"/>
    </row>
    <row r="32" spans="1:16" x14ac:dyDescent="0.25">
      <c r="A32" s="50"/>
      <c r="B32" s="52" t="s">
        <v>97</v>
      </c>
      <c r="C32" s="54">
        <v>0.5</v>
      </c>
      <c r="D32" s="54">
        <v>0.6</v>
      </c>
      <c r="E32" s="54">
        <v>0.6</v>
      </c>
      <c r="F32" s="54">
        <v>0.6</v>
      </c>
      <c r="G32" s="50"/>
      <c r="H32" s="52" t="s">
        <v>98</v>
      </c>
      <c r="I32" s="54">
        <v>0.1</v>
      </c>
      <c r="J32" s="54">
        <v>0.1</v>
      </c>
      <c r="K32" s="54">
        <v>0.1</v>
      </c>
      <c r="L32" s="54">
        <v>0.1</v>
      </c>
      <c r="M32" s="54">
        <v>0.2</v>
      </c>
      <c r="N32" s="50"/>
      <c r="O32" s="50"/>
      <c r="P32" s="55"/>
    </row>
    <row r="33" spans="1:16" x14ac:dyDescent="0.25">
      <c r="A33" s="50"/>
      <c r="B33" s="52" t="s">
        <v>98</v>
      </c>
      <c r="C33" s="54">
        <v>0.4</v>
      </c>
      <c r="D33" s="54">
        <v>0.4</v>
      </c>
      <c r="E33" s="54">
        <v>0.4</v>
      </c>
      <c r="F33" s="54">
        <v>0.4</v>
      </c>
      <c r="G33" s="50"/>
      <c r="H33" s="52" t="s">
        <v>99</v>
      </c>
      <c r="I33" s="54">
        <v>0.35</v>
      </c>
      <c r="J33" s="54">
        <v>0.35</v>
      </c>
      <c r="K33" s="54">
        <v>0.6</v>
      </c>
      <c r="L33" s="54">
        <v>0.6</v>
      </c>
      <c r="M33" s="54">
        <v>0.6</v>
      </c>
      <c r="N33" s="50"/>
      <c r="O33" s="50"/>
      <c r="P33" s="55"/>
    </row>
    <row r="34" spans="1:16" x14ac:dyDescent="0.25">
      <c r="A34" s="50"/>
      <c r="B34" s="52" t="s">
        <v>101</v>
      </c>
      <c r="C34" s="54">
        <v>0.25</v>
      </c>
      <c r="D34" s="54">
        <v>0.25</v>
      </c>
      <c r="E34" s="54">
        <v>0.25</v>
      </c>
      <c r="F34" s="54">
        <v>0.25</v>
      </c>
      <c r="G34" s="50"/>
      <c r="H34" s="52" t="s">
        <v>100</v>
      </c>
      <c r="I34" s="54">
        <v>0.35</v>
      </c>
      <c r="J34" s="54">
        <v>0.35</v>
      </c>
      <c r="K34" s="54">
        <v>0.35</v>
      </c>
      <c r="L34" s="54">
        <v>0.35</v>
      </c>
      <c r="M34" s="54">
        <v>0.35</v>
      </c>
      <c r="N34" s="50"/>
      <c r="O34" s="50"/>
      <c r="P34" s="55"/>
    </row>
    <row r="35" spans="1:16" x14ac:dyDescent="0.25">
      <c r="A35" s="50"/>
      <c r="B35" s="52" t="s">
        <v>102</v>
      </c>
      <c r="C35" s="54">
        <v>0.6</v>
      </c>
      <c r="D35" s="54">
        <v>1.1000000000000001</v>
      </c>
      <c r="E35" s="54">
        <v>2</v>
      </c>
      <c r="F35" s="54">
        <v>2.7</v>
      </c>
      <c r="G35" s="50"/>
      <c r="H35" s="52" t="s">
        <v>101</v>
      </c>
      <c r="I35" s="54">
        <v>1.5</v>
      </c>
      <c r="J35" s="54">
        <v>1.5</v>
      </c>
      <c r="K35" s="54">
        <v>2.2000000000000002</v>
      </c>
      <c r="L35" s="54">
        <v>2.5499999999999998</v>
      </c>
      <c r="M35" s="54">
        <v>3</v>
      </c>
      <c r="N35" s="50"/>
      <c r="O35" s="50"/>
      <c r="P35" s="55"/>
    </row>
    <row r="36" spans="1:16" x14ac:dyDescent="0.25">
      <c r="A36" s="50"/>
      <c r="B36" s="52" t="s">
        <v>80</v>
      </c>
      <c r="C36" s="54">
        <v>1.2</v>
      </c>
      <c r="D36" s="54">
        <v>1.7</v>
      </c>
      <c r="E36" s="54">
        <v>2.6</v>
      </c>
      <c r="F36" s="54">
        <v>3.4</v>
      </c>
      <c r="G36" s="50"/>
      <c r="H36" s="52" t="s">
        <v>80</v>
      </c>
      <c r="I36" s="54">
        <v>1.85</v>
      </c>
      <c r="J36" s="54">
        <v>1.85</v>
      </c>
      <c r="K36" s="54">
        <v>2.6</v>
      </c>
      <c r="L36" s="54">
        <v>3</v>
      </c>
      <c r="M36" s="54">
        <v>3.5</v>
      </c>
      <c r="N36" s="50"/>
      <c r="O36" s="50"/>
      <c r="P36" s="55"/>
    </row>
    <row r="37" spans="1:16" x14ac:dyDescent="0.25">
      <c r="A37" s="50"/>
      <c r="B37" s="52" t="s">
        <v>103</v>
      </c>
      <c r="C37" s="54">
        <v>1.36</v>
      </c>
      <c r="D37" s="54">
        <v>2</v>
      </c>
      <c r="E37" s="54">
        <v>2.2000000000000002</v>
      </c>
      <c r="F37" s="54">
        <v>2</v>
      </c>
      <c r="G37" s="50"/>
      <c r="H37" s="52" t="s">
        <v>103</v>
      </c>
      <c r="I37" s="54">
        <v>1.36</v>
      </c>
      <c r="J37" s="54">
        <v>1.99</v>
      </c>
      <c r="K37" s="54">
        <v>2.63</v>
      </c>
      <c r="L37" s="54">
        <v>3.1</v>
      </c>
      <c r="M37" s="54">
        <v>4</v>
      </c>
      <c r="N37" s="50"/>
      <c r="O37" s="50"/>
      <c r="P37" s="55"/>
    </row>
    <row r="38" spans="1:16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</row>
    <row r="39" spans="1:16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</row>
    <row r="40" spans="1:16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</row>
    <row r="41" spans="1:16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  <row r="42" spans="1:16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</row>
    <row r="43" spans="1:16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</row>
    <row r="44" spans="1:16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</row>
    <row r="45" spans="1:16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</row>
    <row r="46" spans="1:16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</row>
    <row r="47" spans="1:16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</row>
    <row r="48" spans="1:16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</row>
    <row r="49" spans="1:15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</row>
    <row r="50" spans="1:15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</row>
    <row r="51" spans="1:15" x14ac:dyDescent="0.2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</row>
    <row r="52" spans="1:15" x14ac:dyDescent="0.2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</row>
    <row r="53" spans="1:15" x14ac:dyDescent="0.2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</row>
    <row r="54" spans="1:15" x14ac:dyDescent="0.2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</row>
    <row r="55" spans="1:15" x14ac:dyDescent="0.2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</row>
    <row r="56" spans="1:15" x14ac:dyDescent="0.2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</row>
    <row r="57" spans="1:15" x14ac:dyDescent="0.2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</row>
    <row r="58" spans="1:15" x14ac:dyDescent="0.2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</row>
    <row r="59" spans="1:15" x14ac:dyDescent="0.2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</row>
    <row r="60" spans="1:15" x14ac:dyDescent="0.2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</row>
    <row r="61" spans="1:15" x14ac:dyDescent="0.25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</row>
    <row r="62" spans="1:15" x14ac:dyDescent="0.25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</row>
  </sheetData>
  <mergeCells count="5">
    <mergeCell ref="A1:O1"/>
    <mergeCell ref="B6:M6"/>
    <mergeCell ref="A21:O21"/>
    <mergeCell ref="B26:F26"/>
    <mergeCell ref="H26:M26"/>
  </mergeCells>
  <dataValidations count="7">
    <dataValidation type="list" allowBlank="1" showInputMessage="1" showErrorMessage="1" sqref="H3 H22">
      <formula1>"pier,no_pier"</formula1>
    </dataValidation>
    <dataValidation allowBlank="1" showInputMessage="1" showErrorMessage="1" errorTitle="can not edit" error="INVALID ENTRY" sqref="O27:O37"/>
    <dataValidation type="textLength" allowBlank="1" showInputMessage="1" showErrorMessage="1" error="invalid_entry" sqref="C7:M19">
      <formula1>0</formula1>
      <formula2>0</formula2>
    </dataValidation>
    <dataValidation type="textLength" allowBlank="1" showInputMessage="1" showErrorMessage="1" sqref="C27:F37">
      <formula1>0</formula1>
      <formula2>0</formula2>
    </dataValidation>
    <dataValidation type="textLength" allowBlank="1" showInputMessage="1" showErrorMessage="1" errorTitle="can not edit" error="INVALID ENTRY" sqref="I27:M37">
      <formula1>0</formula1>
      <formula2>0</formula2>
    </dataValidation>
    <dataValidation type="list" allowBlank="1" showInputMessage="1" showErrorMessage="1" sqref="M3 M23">
      <formula1>"Right,Left"</formula1>
    </dataValidation>
    <dataValidation type="list" allowBlank="1" showInputMessage="1" showErrorMessage="1" sqref="M4">
      <formula1>"yes,no"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3" name="Button 2">
              <controlPr defaultSize="0" print="0" autoFill="0" autoPict="0" macro="[0]!RW_cut">
                <anchor moveWithCells="1" sizeWithCells="1">
                  <from>
                    <xdr:col>1</xdr:col>
                    <xdr:colOff>47625</xdr:colOff>
                    <xdr:row>23</xdr:row>
                    <xdr:rowOff>28575</xdr:rowOff>
                  </from>
                  <to>
                    <xdr:col>4</xdr:col>
                    <xdr:colOff>228600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4" name="Button 4">
              <controlPr defaultSize="0" print="0" autoFill="0" autoPict="0" macro="[0]!RW_Normal">
                <anchor moveWithCells="1" sizeWithCells="1">
                  <from>
                    <xdr:col>7</xdr:col>
                    <xdr:colOff>171450</xdr:colOff>
                    <xdr:row>1</xdr:row>
                    <xdr:rowOff>95250</xdr:rowOff>
                  </from>
                  <to>
                    <xdr:col>10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RW_fill">
                <anchor moveWithCells="1" sizeWithCells="1">
                  <from>
                    <xdr:col>8</xdr:col>
                    <xdr:colOff>142875</xdr:colOff>
                    <xdr:row>23</xdr:row>
                    <xdr:rowOff>28575</xdr:rowOff>
                  </from>
                  <to>
                    <xdr:col>11</xdr:col>
                    <xdr:colOff>152400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6" name="Button 7">
              <controlPr defaultSize="0" print="0" autoFill="0" autoPict="0" macro="[1]!go_to_Data">
                <anchor moveWithCells="1" sizeWithCells="1">
                  <from>
                    <xdr:col>5</xdr:col>
                    <xdr:colOff>95250</xdr:colOff>
                    <xdr:row>55</xdr:row>
                    <xdr:rowOff>95250</xdr:rowOff>
                  </from>
                  <to>
                    <xdr:col>8</xdr:col>
                    <xdr:colOff>323850</xdr:colOff>
                    <xdr:row>58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7" name="Button 10">
              <controlPr defaultSize="0" print="0" autoFill="0" autoPict="0" macro="[0]!gotomain">
                <anchor moveWithCells="1" sizeWithCells="1">
                  <from>
                    <xdr:col>2</xdr:col>
                    <xdr:colOff>257175</xdr:colOff>
                    <xdr:row>0</xdr:row>
                    <xdr:rowOff>190500</xdr:rowOff>
                  </from>
                  <to>
                    <xdr:col>4</xdr:col>
                    <xdr:colOff>390525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Main</vt:lpstr>
      <vt:lpstr>pk_length</vt:lpstr>
      <vt:lpstr>pk_Text</vt:lpstr>
      <vt:lpstr>send_coordinates</vt:lpstr>
      <vt:lpstr>pk_coordinates</vt:lpstr>
      <vt:lpstr>slope</vt:lpstr>
      <vt:lpstr>csvExtr</vt:lpstr>
      <vt:lpstr>CAD2txt</vt:lpstr>
      <vt:lpstr>Select_Inside</vt:lpstr>
      <vt:lpstr>excav</vt:lpstr>
      <vt:lpstr>Make_Table</vt:lpstr>
      <vt:lpstr>Ms_RW</vt:lpstr>
      <vt:lpstr>RC_RW</vt:lpstr>
      <vt:lpstr>csvExtr!Extract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2020-06-24T19:46:07Z</dcterms:created>
  <dcterms:modified xsi:type="dcterms:W3CDTF">2021-04-08T09:58:05Z</dcterms:modified>
</cp:coreProperties>
</file>