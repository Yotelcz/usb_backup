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55" yWindow="5745" windowWidth="15315" windowHeight="7230" tabRatio="1000" activeTab="1"/>
  </bookViews>
  <sheets>
    <sheet name="main" sheetId="1" r:id="rId1"/>
    <sheet name="SLB_CU" sheetId="15" r:id="rId2"/>
    <sheet name="BOX_CU" sheetId="14" r:id="rId3"/>
    <sheet name="PipeEnd_data" sheetId="3" state="hidden" r:id="rId4"/>
    <sheet name="Chk_dm" sheetId="19" r:id="rId5"/>
    <sheet name="ERA2013" sheetId="16" state="hidden" r:id="rId6"/>
    <sheet name="Sheet1" sheetId="20" r:id="rId7"/>
  </sheets>
  <externalReferences>
    <externalReference r:id="rId8"/>
    <externalReference r:id="rId9"/>
  </externalReferences>
  <definedNames>
    <definedName name="_xlnm._FilterDatabase" localSheetId="0" hidden="1">main!$B$8:$B$9</definedName>
    <definedName name="a_double">PipeEnd_data!$B$21:$I$25</definedName>
    <definedName name="a_single">PipeEnd_data!$B$16:$I$20</definedName>
    <definedName name="a_title">PipeEnd_data!$B$14:$I$15</definedName>
    <definedName name="a_triple">PipeEnd_data!$B$26:$I$30</definedName>
    <definedName name="ai_double">PipeEnd_data!$B$84:$M$88</definedName>
    <definedName name="ai_single">PipeEnd_data!$B$79:$M$83</definedName>
    <definedName name="ai_title">PipeEnd_data!$B$77:$M$78</definedName>
    <definedName name="ai_triple">PipeEnd_data!$B$89:$M$93</definedName>
    <definedName name="b_double">PipeEnd_data!$B$63:$M$67</definedName>
    <definedName name="b_single">PipeEnd_data!$B$58:$M$62</definedName>
    <definedName name="b_title">PipeEnd_data!$B$56:$M$57</definedName>
    <definedName name="b_triple">PipeEnd_data!$B$68:$M$72</definedName>
    <definedName name="c_double">PipeEnd_data!$B$42:$L$46</definedName>
    <definedName name="c_single">PipeEnd_data!$B$37:$L$41</definedName>
    <definedName name="c_title">PipeEnd_data!$B$35:$L$36</definedName>
    <definedName name="c_triple">PipeEnd_data!$B$47:$L$51</definedName>
  </definedNames>
  <calcPr calcId="145621"/>
  <customWorkbookViews>
    <customWorkbookView name="33" guid="{A4DA0C6D-D584-455D-A4B7-603EE27383F6}" maximized="1" windowWidth="1280" windowHeight="838" activeSheetId="1" showComments="commIndAndComment"/>
  </customWorkbookViews>
</workbook>
</file>

<file path=xl/calcChain.xml><?xml version="1.0" encoding="utf-8"?>
<calcChain xmlns="http://schemas.openxmlformats.org/spreadsheetml/2006/main">
  <c r="C2" i="1" l="1"/>
  <c r="H56" i="14" l="1"/>
  <c r="E16" i="15" l="1"/>
  <c r="I51" i="14" l="1"/>
  <c r="H51" i="14"/>
  <c r="B13" i="14" l="1"/>
  <c r="C13" i="14"/>
  <c r="D13" i="14"/>
  <c r="E13" i="14"/>
  <c r="F13" i="14"/>
  <c r="G13" i="14"/>
  <c r="H13" i="14"/>
  <c r="B14" i="14"/>
  <c r="C14" i="14"/>
  <c r="D14" i="14"/>
  <c r="E14" i="14"/>
  <c r="F14" i="14"/>
  <c r="G14" i="14"/>
  <c r="H14" i="14"/>
  <c r="B15" i="14"/>
  <c r="C15" i="14"/>
  <c r="D15" i="14"/>
  <c r="E15" i="14"/>
  <c r="F15" i="14"/>
  <c r="G15" i="14"/>
  <c r="H15" i="14"/>
  <c r="B16" i="14"/>
  <c r="C16" i="14"/>
  <c r="D16" i="14"/>
  <c r="E16" i="14"/>
  <c r="F16" i="14"/>
  <c r="G16" i="14"/>
  <c r="H16" i="14"/>
  <c r="B17" i="14"/>
  <c r="C17" i="14"/>
  <c r="D17" i="14"/>
  <c r="E17" i="14"/>
  <c r="F17" i="14"/>
  <c r="G17" i="14"/>
  <c r="H17" i="14"/>
  <c r="B18" i="14"/>
  <c r="C18" i="14"/>
  <c r="D18" i="14"/>
  <c r="E18" i="14"/>
  <c r="F18" i="14"/>
  <c r="G18" i="14"/>
  <c r="H18" i="14"/>
  <c r="B19" i="14"/>
  <c r="C19" i="14"/>
  <c r="D19" i="14"/>
  <c r="E19" i="14"/>
  <c r="F19" i="14"/>
  <c r="G19" i="14"/>
  <c r="H19" i="14"/>
  <c r="B20" i="14"/>
  <c r="C20" i="14"/>
  <c r="D20" i="14"/>
  <c r="E20" i="14"/>
  <c r="F20" i="14"/>
  <c r="G20" i="14"/>
  <c r="H20" i="14"/>
  <c r="B21" i="14"/>
  <c r="C21" i="14"/>
  <c r="D21" i="14"/>
  <c r="E21" i="14"/>
  <c r="F21" i="14"/>
  <c r="G21" i="14"/>
  <c r="H21" i="14"/>
  <c r="I8" i="14"/>
  <c r="N8" i="14" s="1"/>
  <c r="F8" i="14" l="1"/>
  <c r="K8" i="14"/>
  <c r="H8" i="14"/>
  <c r="J8" i="14"/>
  <c r="G8" i="14"/>
  <c r="G6" i="1"/>
  <c r="D6" i="1"/>
  <c r="F17" i="15" l="1"/>
  <c r="D16" i="15"/>
  <c r="C22" i="15"/>
  <c r="J22" i="15" l="1"/>
  <c r="G22" i="15"/>
  <c r="D22" i="15"/>
  <c r="F22" i="15"/>
  <c r="I22" i="15"/>
  <c r="E22" i="15"/>
  <c r="H22" i="15"/>
  <c r="F6" i="15"/>
  <c r="I12" i="15" l="1"/>
  <c r="I16" i="15"/>
  <c r="C26" i="15" l="1"/>
  <c r="G26" i="15"/>
  <c r="C25" i="15" l="1"/>
  <c r="G25" i="15"/>
  <c r="D25" i="15"/>
  <c r="H25" i="15"/>
  <c r="E25" i="15"/>
  <c r="I25" i="15"/>
  <c r="F25" i="15"/>
  <c r="J25" i="15"/>
  <c r="E17" i="15" l="1"/>
  <c r="J16" i="15"/>
  <c r="J26" i="15" l="1"/>
  <c r="F26" i="15"/>
  <c r="I26" i="15"/>
  <c r="E26" i="15"/>
  <c r="H26" i="15"/>
  <c r="D26" i="15"/>
  <c r="F16" i="15" l="1"/>
  <c r="C16" i="15"/>
  <c r="B16" i="15"/>
  <c r="E32" i="1" l="1"/>
  <c r="I6" i="1" l="1"/>
  <c r="B5" i="1"/>
  <c r="E47" i="16" l="1"/>
  <c r="E38" i="16"/>
  <c r="E29" i="16"/>
  <c r="E22" i="16"/>
  <c r="E15" i="16"/>
  <c r="O14" i="16"/>
  <c r="N14" i="16"/>
  <c r="O13" i="16"/>
  <c r="N13" i="16"/>
  <c r="O12" i="16"/>
  <c r="N12" i="16"/>
  <c r="O11" i="16"/>
  <c r="N11" i="16"/>
  <c r="O10" i="16"/>
  <c r="N10" i="16"/>
  <c r="O9" i="16"/>
  <c r="N9" i="16"/>
  <c r="O8" i="16"/>
  <c r="Q12" i="16" s="1"/>
  <c r="N8" i="16"/>
  <c r="P14" i="16" s="1"/>
  <c r="E7" i="16"/>
  <c r="D3" i="16"/>
  <c r="C3" i="16"/>
  <c r="B3" i="16"/>
  <c r="F3" i="3"/>
  <c r="E3" i="3"/>
  <c r="D3" i="3"/>
  <c r="C3" i="3"/>
  <c r="H1" i="3"/>
  <c r="J2" i="1"/>
  <c r="P13" i="16" l="1"/>
  <c r="Q13" i="16"/>
  <c r="P10" i="16"/>
  <c r="Q10" i="16"/>
  <c r="P9" i="16"/>
  <c r="P12" i="16"/>
  <c r="P8" i="16"/>
  <c r="P11" i="16"/>
  <c r="Q8" i="16"/>
  <c r="Q11" i="16"/>
  <c r="Q14" i="16"/>
  <c r="Q9" i="16"/>
  <c r="L3" i="16"/>
  <c r="N3" i="16"/>
  <c r="O6" i="3"/>
  <c r="K10" i="3"/>
  <c r="O10" i="3"/>
  <c r="K9" i="3"/>
  <c r="B9" i="3"/>
  <c r="N9" i="3"/>
  <c r="C9" i="3"/>
  <c r="O9" i="3"/>
  <c r="E9" i="3"/>
  <c r="H9" i="3"/>
  <c r="I9" i="3"/>
  <c r="F10" i="3"/>
  <c r="L10" i="3"/>
  <c r="I3" i="16"/>
  <c r="J5" i="3"/>
  <c r="D6" i="3"/>
  <c r="E6" i="3"/>
  <c r="G10" i="3"/>
  <c r="M10" i="3"/>
  <c r="J3" i="16"/>
  <c r="Q5" i="3"/>
  <c r="F5" i="3"/>
  <c r="L5" i="3"/>
  <c r="R5" i="3"/>
  <c r="F6" i="3"/>
  <c r="L6" i="3"/>
  <c r="D9" i="3"/>
  <c r="J9" i="3"/>
  <c r="B10" i="3"/>
  <c r="H10" i="3"/>
  <c r="N10" i="3"/>
  <c r="E3" i="16"/>
  <c r="K3" i="16"/>
  <c r="D5" i="3"/>
  <c r="P5" i="3"/>
  <c r="J6" i="3"/>
  <c r="K5" i="3"/>
  <c r="I10" i="3"/>
  <c r="E5" i="3"/>
  <c r="C10" i="3"/>
  <c r="F3" i="16"/>
  <c r="B5" i="3"/>
  <c r="H5" i="3"/>
  <c r="N5" i="3"/>
  <c r="B6" i="3"/>
  <c r="H6" i="3"/>
  <c r="N6" i="3"/>
  <c r="F9" i="3"/>
  <c r="L9" i="3"/>
  <c r="D10" i="3"/>
  <c r="J10" i="3"/>
  <c r="G3" i="16"/>
  <c r="M3" i="16"/>
  <c r="K6" i="3"/>
  <c r="G5" i="3"/>
  <c r="M5" i="3"/>
  <c r="S5" i="3"/>
  <c r="G6" i="3"/>
  <c r="M6" i="3"/>
  <c r="C5" i="3"/>
  <c r="I5" i="3"/>
  <c r="O5" i="3"/>
  <c r="C6" i="3"/>
  <c r="I6" i="3"/>
  <c r="G9" i="3"/>
  <c r="M9" i="3"/>
  <c r="E10" i="3"/>
  <c r="H3" i="16"/>
  <c r="E23" i="15" l="1"/>
  <c r="E24" i="15" s="1"/>
  <c r="H23" i="15"/>
  <c r="H24" i="15" s="1"/>
  <c r="F23" i="15"/>
  <c r="F24" i="15" s="1"/>
  <c r="C23" i="15"/>
  <c r="C24" i="15" s="1"/>
  <c r="J23" i="15"/>
  <c r="J24" i="15" s="1"/>
  <c r="I23" i="15"/>
  <c r="I24" i="15" s="1"/>
  <c r="G23" i="15"/>
  <c r="G24" i="15" s="1"/>
  <c r="D23" i="15"/>
  <c r="D24" i="15" s="1"/>
  <c r="F12" i="15" l="1"/>
  <c r="D17" i="15"/>
  <c r="J12" i="15"/>
  <c r="D12" i="15" l="1"/>
  <c r="B8" i="15" l="1"/>
  <c r="C8" i="14" s="1"/>
</calcChain>
</file>

<file path=xl/comments1.xml><?xml version="1.0" encoding="utf-8"?>
<comments xmlns="http://schemas.openxmlformats.org/spreadsheetml/2006/main">
  <authors>
    <author>User</author>
  </authors>
  <commentList>
    <comment ref="I2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 Layer name…. 
      Don't touch this…
</t>
        </r>
      </text>
    </comment>
  </commentList>
</comments>
</file>

<file path=xl/comments2.xml><?xml version="1.0" encoding="utf-8"?>
<comments xmlns="http://schemas.openxmlformats.org/spreadsheetml/2006/main">
  <authors>
    <author>User</author>
    <author>Windows User</author>
  </authors>
  <commentList>
    <comment ref="D5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&gt;&gt;For different Slab culverts you have d/f Design … hence… need .. Modification for   
     standard.
&gt;&gt; produce such template that it do the following…
               &gt;&gt;…..Design…. SlabCU
                          &gt;&gt;input_conditions...requred..from design...that it might need...
                                        &gt;&gt;Cross-Section of SCCulvert
                                        &gt;&gt;Fill height conditionss
                                        &gt;&gt;...
               &gt;&gt;…..Adjust…the templates… with the design..input
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-Notice the picture shown
-45 degree changes …. Need to 
   see standards...</t>
        </r>
      </text>
    </comment>
    <comment ref="B7" authorId="1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USED FOR 
DETERMINING 
THE SLAB THICKNESS</t>
        </r>
      </text>
    </comment>
    <comment ref="H10" authorId="1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For_Rock
1.7
For Soil
0.7</t>
        </r>
      </text>
    </comment>
    <comment ref="E1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comes from Hydrologist</t>
        </r>
      </text>
    </comment>
    <comment ref="A22" authorId="0">
      <text>
        <r>
          <rPr>
            <b/>
            <sz val="9"/>
            <color indexed="81"/>
            <rFont val="Tahoma"/>
            <family val="2"/>
          </rPr>
          <t>User:
Diffrence of these…… Means
(footing thickness) + (foundation fill)</t>
        </r>
      </text>
    </comment>
  </commentList>
</comments>
</file>

<file path=xl/comments3.xml><?xml version="1.0" encoding="utf-8"?>
<comments xmlns="http://schemas.openxmlformats.org/spreadsheetml/2006/main">
  <authors>
    <author>User</author>
    <author>user</author>
  </authors>
  <commentList>
    <comment ref="D5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&gt;&gt;For different Box culverts you have d/f Design … hence… need .. Modification for   
     standard.
&gt;&gt; produce such template that it do the following…
               &gt;&gt;…..Design…. BoxCU
                          &gt;&gt;input_conditions...requred..from design...that it might need...
                                        &gt;&gt;Cross-Section of BCCulvert
                                        &gt;&gt;Fill height conditionss
                                        &gt;&gt;...
               &gt;&gt;…..Adjust…the templates… with the design..input
</t>
        </r>
      </text>
    </comment>
    <comment ref="D7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slab_thickness</t>
        </r>
      </text>
    </comment>
    <comment ref="E7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opening
Wall_height</t>
        </r>
      </text>
    </comment>
    <comment ref="F7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wall_thickness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0.2 @FILL
0.4 @Grade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A1" authorId="0">
      <text>
        <r>
          <rPr>
            <b/>
            <sz val="10"/>
            <color indexed="81"/>
            <rFont val="Tahoma"/>
            <family val="2"/>
          </rPr>
          <t>User:</t>
        </r>
        <r>
          <rPr>
            <sz val="10"/>
            <color indexed="81"/>
            <rFont val="Tahoma"/>
            <family val="2"/>
          </rPr>
          <t xml:space="preserve">
needs some revision</t>
        </r>
      </text>
    </comment>
  </commentList>
</comments>
</file>

<file path=xl/sharedStrings.xml><?xml version="1.0" encoding="utf-8"?>
<sst xmlns="http://schemas.openxmlformats.org/spreadsheetml/2006/main" count="471" uniqueCount="240">
  <si>
    <t xml:space="preserve">      Right_End_Stru=</t>
  </si>
  <si>
    <t>Dia_pipe(mm)</t>
  </si>
  <si>
    <t>Type C end structure datas</t>
  </si>
  <si>
    <t>Type A end structure datas</t>
  </si>
  <si>
    <t>Type B end structure datas</t>
  </si>
  <si>
    <t>Di</t>
  </si>
  <si>
    <t>H1</t>
  </si>
  <si>
    <t>(mm)</t>
  </si>
  <si>
    <t>Do</t>
  </si>
  <si>
    <t>t</t>
  </si>
  <si>
    <t>L1</t>
  </si>
  <si>
    <t>W1</t>
  </si>
  <si>
    <t>B1</t>
  </si>
  <si>
    <t>Massonary</t>
  </si>
  <si>
    <t>Stone Pitch</t>
  </si>
  <si>
    <t>SINGLE PIPE</t>
  </si>
  <si>
    <t>DOUBLE PIPE</t>
  </si>
  <si>
    <t>TRIPLE PIPE</t>
  </si>
  <si>
    <t>L2</t>
  </si>
  <si>
    <t>W2</t>
  </si>
  <si>
    <t>H2</t>
  </si>
  <si>
    <t>B2</t>
  </si>
  <si>
    <t>H3</t>
  </si>
  <si>
    <t>Type A Inlet structure datas</t>
  </si>
  <si>
    <t>Quantity</t>
  </si>
  <si>
    <t>L3</t>
  </si>
  <si>
    <t>dia(mm)</t>
  </si>
  <si>
    <t>Rht_EndS</t>
  </si>
  <si>
    <t>Lft_EndS</t>
  </si>
  <si>
    <t>No_cell</t>
  </si>
  <si>
    <t>pipe_thk</t>
  </si>
  <si>
    <t xml:space="preserve"> </t>
  </si>
  <si>
    <t>thickness(m)</t>
  </si>
  <si>
    <t>slope</t>
  </si>
  <si>
    <t>H</t>
  </si>
  <si>
    <t>L</t>
  </si>
  <si>
    <t>Left</t>
  </si>
  <si>
    <r>
      <t xml:space="preserve">BOX __ Culverts                   </t>
    </r>
    <r>
      <rPr>
        <b/>
        <sz val="11"/>
        <color rgb="FFFF0000"/>
        <rFont val="Calibri"/>
        <family val="2"/>
        <scheme val="minor"/>
      </rPr>
      <t xml:space="preserve"> BOX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BOX__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BOX__ Culverts   </t>
    </r>
  </si>
  <si>
    <t>Edge beam data</t>
  </si>
  <si>
    <r>
      <t>wing wall angle = 45</t>
    </r>
    <r>
      <rPr>
        <vertAlign val="superscript"/>
        <sz val="11"/>
        <color theme="1"/>
        <rFont val="Calibri"/>
        <family val="2"/>
        <scheme val="minor"/>
      </rPr>
      <t>o</t>
    </r>
  </si>
  <si>
    <t>Hc</t>
  </si>
  <si>
    <t>Lw</t>
  </si>
  <si>
    <t xml:space="preserve">                              Geometrical Data for Abutment and Wing wall with the following assumptions</t>
  </si>
  <si>
    <t>span Sc (m)</t>
  </si>
  <si>
    <t xml:space="preserve">                           Battering of stone masonary wing wall for slab-culvert at fill</t>
  </si>
  <si>
    <t>Hf &lt;=2m</t>
  </si>
  <si>
    <t>6m &lt; Hf &lt;= 8m</t>
  </si>
  <si>
    <t>4m &lt; Hf &lt;= 6m</t>
  </si>
  <si>
    <t>2m &lt; Hf &lt;= 4m</t>
  </si>
  <si>
    <t xml:space="preserve"> 1-5</t>
  </si>
  <si>
    <t>Y3</t>
  </si>
  <si>
    <t>Y4</t>
  </si>
  <si>
    <t xml:space="preserve">                           Battering of stone masonary Abutment for for slab-culvert at fill</t>
  </si>
  <si>
    <t>Y1</t>
  </si>
  <si>
    <t>Y2</t>
  </si>
  <si>
    <t xml:space="preserve"> 2.1-3</t>
  </si>
  <si>
    <t xml:space="preserve"> 1.0-2</t>
  </si>
  <si>
    <t xml:space="preserve"> 3.1-4</t>
  </si>
  <si>
    <t xml:space="preserve"> 4.1-5</t>
  </si>
  <si>
    <t>Culvert
Opeining</t>
  </si>
  <si>
    <t>Foundation
thickness</t>
  </si>
  <si>
    <t>Depth
foundat</t>
  </si>
  <si>
    <t>WingW
width</t>
  </si>
  <si>
    <t>Fill-height</t>
  </si>
  <si>
    <t xml:space="preserve">           Wing wall data for Left End Strucuture</t>
  </si>
  <si>
    <t>**** make sure to adjust the slope form main sheet</t>
  </si>
  <si>
    <t>dia(inch)</t>
  </si>
  <si>
    <t>ww</t>
  </si>
  <si>
    <t>CELL</t>
  </si>
  <si>
    <t>FILL SLOPE</t>
  </si>
  <si>
    <t>I.D.</t>
  </si>
  <si>
    <t>O.D.</t>
  </si>
  <si>
    <t>A(m)</t>
  </si>
  <si>
    <t>H(m)</t>
  </si>
  <si>
    <t>L(m)</t>
  </si>
  <si>
    <t>B(m)</t>
  </si>
  <si>
    <t>B'(m)</t>
  </si>
  <si>
    <t>W(m)</t>
  </si>
  <si>
    <t>L'(m)</t>
  </si>
  <si>
    <t xml:space="preserve">CLASS 'B' </t>
  </si>
  <si>
    <t>PAVED WATER</t>
  </si>
  <si>
    <t xml:space="preserve"> QUANTITY ESTIMATE FOR ONE WALL (SINGLE PIPE) [ FILL SLOPE 1.5:1 (H:V)] </t>
  </si>
  <si>
    <t>PIPE DIA.</t>
  </si>
  <si>
    <t xml:space="preserve"> QUANTITY ESTIMATE FOR ONE WALL (SINGLE PIPE) [ FILL SLOPE 2:1 (H:V)] </t>
  </si>
  <si>
    <t xml:space="preserve"> QUANTITY ESTIMATE FOR ONE WALL (DOUBLE PIPE) [ FILL SLOPE 1.5:1 (H:V)] </t>
  </si>
  <si>
    <t xml:space="preserve"> QUANTITY ESTIMATE FOR ONE WALL (DOUBLE PIPE) [ FILL SLOPE 2:1 (H:V)] </t>
  </si>
  <si>
    <t xml:space="preserve"> QUANTITY ESTIMATE FOR ONE WALL (TRIPLE PIPE) [ FILL SLOPE 1.5:1 (H:V)] </t>
  </si>
  <si>
    <t xml:space="preserve"> QUANTITY ESTIMATE FOR ONE WALL (TRIPLE PIPE) [ FILL SLOPE 2:1 (H:V)] </t>
  </si>
  <si>
    <t>Fill slope</t>
  </si>
  <si>
    <t>standard</t>
  </si>
  <si>
    <t>xo=</t>
  </si>
  <si>
    <t>yo=</t>
  </si>
  <si>
    <t>x=</t>
  </si>
  <si>
    <t>y=</t>
  </si>
  <si>
    <t>invert elevaiton</t>
  </si>
  <si>
    <t>Inlet elevation</t>
  </si>
  <si>
    <t>outlet elevation</t>
  </si>
  <si>
    <t>culvert_length</t>
  </si>
  <si>
    <t>** send this coordinates.. To grid .. Usign the grid..</t>
  </si>
  <si>
    <t xml:space="preserve">** adjust this and annotate… </t>
  </si>
  <si>
    <t>excavation_edge coordinates</t>
  </si>
  <si>
    <t>s</t>
  </si>
  <si>
    <t>fill height</t>
  </si>
  <si>
    <t>xo</t>
  </si>
  <si>
    <t>yo</t>
  </si>
  <si>
    <t>center Line coo</t>
  </si>
  <si>
    <t>percent(%)</t>
  </si>
  <si>
    <t xml:space="preserve">           Left_End_Stru=</t>
  </si>
  <si>
    <t>For ERA 2013 &gt;&gt;&gt;</t>
  </si>
  <si>
    <t>Town</t>
  </si>
  <si>
    <t xml:space="preserve">Type of </t>
  </si>
  <si>
    <t xml:space="preserve">  Section</t>
  </si>
  <si>
    <t>Pipe</t>
  </si>
  <si>
    <t>adjust Hatch Scale</t>
  </si>
  <si>
    <t>Masonary</t>
  </si>
  <si>
    <t xml:space="preserve"> pitching</t>
  </si>
  <si>
    <t>stone</t>
  </si>
  <si>
    <t xml:space="preserve">           Wing wall data for Right End Strucuture</t>
  </si>
  <si>
    <t>slope_add</t>
  </si>
  <si>
    <t>slope is…</t>
  </si>
  <si>
    <t>CL of culvert</t>
  </si>
  <si>
    <t>x</t>
  </si>
  <si>
    <t>y</t>
  </si>
  <si>
    <t>Culvert_span</t>
  </si>
  <si>
    <t>D</t>
  </si>
  <si>
    <t xml:space="preserve">                                                 Variables defined on the standard</t>
  </si>
  <si>
    <t>**found from wall opening and Hf</t>
  </si>
  <si>
    <t>Hf</t>
  </si>
  <si>
    <t>Slab</t>
  </si>
  <si>
    <t>e.y</t>
  </si>
  <si>
    <t>e.x</t>
  </si>
  <si>
    <t>span</t>
  </si>
  <si>
    <t>L*cos(45deg)</t>
  </si>
  <si>
    <t>** if it is @Grade it takes the slope of Road_way</t>
  </si>
  <si>
    <t>Fill</t>
  </si>
  <si>
    <t>quanttity</t>
  </si>
  <si>
    <t>quantity</t>
  </si>
  <si>
    <t>***used for</t>
  </si>
  <si>
    <t xml:space="preserve">          Edge Beam Data</t>
  </si>
  <si>
    <t xml:space="preserve">                                  Adjustable Inputs </t>
  </si>
  <si>
    <t>**Angle__b/n__WW_and</t>
  </si>
  <si>
    <t>***Its Horizontal projection i.e perpendicular to Road_Way</t>
  </si>
  <si>
    <t>ACCRA</t>
  </si>
  <si>
    <t>Structure</t>
  </si>
  <si>
    <t>RightEnd</t>
  </si>
  <si>
    <t>LeftEnd</t>
  </si>
  <si>
    <t>comments</t>
  </si>
  <si>
    <t>***  HOW TO DISTINGUISH @GRADE SLAB_CU????????????</t>
  </si>
  <si>
    <t>condition of</t>
  </si>
  <si>
    <t>slab culvert</t>
  </si>
  <si>
    <t>Data when @ Grade is needed???</t>
  </si>
  <si>
    <t>H1w</t>
  </si>
  <si>
    <t>H2w</t>
  </si>
  <si>
    <t>Structure_Type</t>
  </si>
  <si>
    <t>foun_(x)</t>
  </si>
  <si>
    <t>foun_(y)</t>
  </si>
  <si>
    <t>SC_manual</t>
  </si>
  <si>
    <t>LeftEnd_SS</t>
  </si>
  <si>
    <t>RgihtEndSS</t>
  </si>
  <si>
    <r>
      <t xml:space="preserve">Adjust </t>
    </r>
    <r>
      <rPr>
        <b/>
        <sz val="11"/>
        <color theme="1"/>
        <rFont val="Calibri"/>
        <family val="2"/>
        <scheme val="minor"/>
      </rPr>
      <t>FillSlope</t>
    </r>
    <r>
      <rPr>
        <sz val="11"/>
        <color theme="1"/>
        <rFont val="Calibri"/>
        <family val="2"/>
        <scheme val="minor"/>
      </rPr>
      <t xml:space="preserve"> cond</t>
    </r>
  </si>
  <si>
    <t>****CODE_ERROR NOT HANDLED??????</t>
  </si>
  <si>
    <t>Fill Slope =1.5:1</t>
  </si>
  <si>
    <t>Slab(m)_Ds
Thickness</t>
  </si>
  <si>
    <t>&lt;&lt;&lt;&lt;__coord_foundation fill</t>
  </si>
  <si>
    <t>Right</t>
  </si>
  <si>
    <t xml:space="preserve"> =COS(G67*PI()/180)</t>
  </si>
  <si>
    <r>
      <t xml:space="preserve">Slab __ Culverts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 </t>
    </r>
  </si>
  <si>
    <t>Char_word</t>
  </si>
  <si>
    <t>to_be_filled</t>
  </si>
  <si>
    <t xml:space="preserve">     Edit</t>
  </si>
  <si>
    <t>no</t>
  </si>
  <si>
    <t>&lt;&lt;&lt;&lt;&lt;</t>
  </si>
  <si>
    <t>&gt;&gt;&gt;&gt;&gt;&gt;&gt;</t>
  </si>
  <si>
    <r>
      <t xml:space="preserve">Pipe __ Culverts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 </t>
    </r>
  </si>
  <si>
    <t>Grade</t>
  </si>
  <si>
    <t>Found_offst</t>
  </si>
  <si>
    <t>relation</t>
  </si>
  <si>
    <t>data</t>
  </si>
  <si>
    <t xml:space="preserve">                       &gt;&gt; Hatch problem </t>
  </si>
  <si>
    <t>Masonary Retaining Wall data</t>
  </si>
  <si>
    <r>
      <t xml:space="preserve">BOX __ Culverts                   </t>
    </r>
    <r>
      <rPr>
        <b/>
        <sz val="11"/>
        <color rgb="FFFF0000"/>
        <rFont val="Calibri"/>
        <family val="2"/>
        <scheme val="minor"/>
      </rPr>
      <t xml:space="preserve"> BOX __ Culverts </t>
    </r>
    <r>
      <rPr>
        <b/>
        <sz val="11"/>
        <color theme="1"/>
        <rFont val="Calibri"/>
        <family val="2"/>
        <scheme val="minor"/>
      </rPr>
      <t xml:space="preserve">                 </t>
    </r>
    <r>
      <rPr>
        <b/>
        <sz val="11"/>
        <color rgb="FFFFFF00"/>
        <rFont val="Calibri"/>
        <family val="2"/>
        <scheme val="minor"/>
      </rPr>
      <t xml:space="preserve"> </t>
    </r>
  </si>
  <si>
    <t>No DEVELOPMENT Yet???????????</t>
  </si>
  <si>
    <t>Layer_Name</t>
  </si>
  <si>
    <t>***Comments</t>
  </si>
  <si>
    <t>C</t>
  </si>
  <si>
    <t>A(T1)</t>
  </si>
  <si>
    <t>H(a)</t>
  </si>
  <si>
    <t>L1(K1)</t>
  </si>
  <si>
    <t>L2(K2)</t>
  </si>
  <si>
    <t>w1(DT)</t>
  </si>
  <si>
    <t>H1(HT)</t>
  </si>
  <si>
    <t>Ed_W(x)</t>
  </si>
  <si>
    <t>Ed_H(y)</t>
  </si>
  <si>
    <t>Box_inlet_Elevations</t>
  </si>
  <si>
    <t>Box_Outlet_Elevations</t>
  </si>
  <si>
    <t>Box_Invert_Elevations</t>
  </si>
  <si>
    <t>Box_CL_coordinate</t>
  </si>
  <si>
    <t>Box_FoundFill__(x,y)</t>
  </si>
  <si>
    <t>Foundation __fill_cr</t>
  </si>
  <si>
    <t>&gt;&gt;&gt;&gt;&gt;</t>
  </si>
  <si>
    <t>RCW</t>
  </si>
  <si>
    <t>offset</t>
  </si>
  <si>
    <t>edge_bm</t>
  </si>
  <si>
    <t>Lean_conc</t>
  </si>
  <si>
    <t>Thickness</t>
  </si>
  <si>
    <t>Thicknes</t>
  </si>
  <si>
    <t>Granular</t>
  </si>
  <si>
    <t>Grouted</t>
  </si>
  <si>
    <t>StoneThck</t>
  </si>
  <si>
    <t>outlet</t>
  </si>
  <si>
    <t>Standard</t>
  </si>
  <si>
    <t>if it is project then pick data from from table</t>
  </si>
  <si>
    <t>Type</t>
  </si>
  <si>
    <t xml:space="preserve">                   DIMENSION DETAILS</t>
  </si>
  <si>
    <t xml:space="preserve">                               RCW data</t>
  </si>
  <si>
    <t>Draw</t>
  </si>
  <si>
    <t>ESObject_at</t>
  </si>
  <si>
    <t>DropInlet</t>
  </si>
  <si>
    <t>L-shape</t>
  </si>
  <si>
    <t>Height</t>
  </si>
  <si>
    <t>culvert_xs</t>
  </si>
  <si>
    <t>WW_dista</t>
  </si>
  <si>
    <t>MWW</t>
  </si>
  <si>
    <t>inlet</t>
  </si>
  <si>
    <t>.. and where it is located.. and adjust it .... conditioned for a change...</t>
  </si>
  <si>
    <t>&gt;&gt;for..Bridge..60cm</t>
  </si>
  <si>
    <t>&gt;&gt;minor_culverts-45cm</t>
  </si>
  <si>
    <t>&gt;&gt;Retaining_Wall-50cm</t>
  </si>
  <si>
    <t>&gt;&gt;general ... knowledge..... // for genearl knowledge.. go and update on the Spec..</t>
  </si>
  <si>
    <t>Notes</t>
  </si>
  <si>
    <t>…. Need to be checked From ERA//ACCRA</t>
  </si>
  <si>
    <t>&gt;&gt;a condition.. that said... There might be no need of reinforcement for a footing Pad of Ms_RW... if the Bearing Capacity is sufficent enough.</t>
  </si>
  <si>
    <t>&gt;&gt;Tensile.. stregnth... mishekemeLen .. is not only.. reinfrocement...concrete...can also.. hold this capacity.</t>
  </si>
  <si>
    <t>&gt;&gt;.. so increase... section.. depth..</t>
  </si>
  <si>
    <t>&gt;&gt;..</t>
  </si>
  <si>
    <t>Barrel</t>
  </si>
  <si>
    <t>right</t>
  </si>
  <si>
    <t>SC</t>
  </si>
  <si>
    <t>Drop_Inlet</t>
  </si>
  <si>
    <t>Guide_Wall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</si>
</sst>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&quot;Type &quot;@"/>
    <numFmt numFmtId="165" formatCode="@&quot; (m)&quot;"/>
    <numFmt numFmtId="166" formatCode="@&quot; (mm)&quot;"/>
    <numFmt numFmtId="167" formatCode="0.000"/>
    <numFmt numFmtId="168" formatCode="&quot;ERA &quot;0"/>
    <numFmt numFmtId="169" formatCode="0&quot; Inch&quot;"/>
    <numFmt numFmtId="170" formatCode="&quot;@ &quot;@"/>
    <numFmt numFmtId="171" formatCode="&quot;@&quot;@"/>
    <numFmt numFmtId="172" formatCode="0.0&quot; :1&quot;"/>
    <numFmt numFmtId="173" formatCode="&quot;DF = &quot;0.0&quot;m&quot;"/>
    <numFmt numFmtId="174" formatCode="0.0&quot; Lw&quot;"/>
    <numFmt numFmtId="175" formatCode="0.00&quot; H2w&quot;"/>
    <numFmt numFmtId="176" formatCode="0.00&quot; H1w&quot;"/>
    <numFmt numFmtId="177" formatCode="0.00\ &quot;H &quot;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perscript"/>
      <sz val="11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3" tint="0.59999389629810485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u/>
      <sz val="18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15" fillId="0" borderId="0"/>
    <xf numFmtId="0" fontId="16" fillId="0" borderId="0"/>
  </cellStyleXfs>
  <cellXfs count="247">
    <xf numFmtId="0" fontId="0" fillId="0" borderId="0" xfId="0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2" fillId="2" borderId="2" xfId="0" applyFont="1" applyFill="1" applyBorder="1"/>
    <xf numFmtId="0" fontId="1" fillId="3" borderId="1" xfId="0" applyFont="1" applyFill="1" applyBorder="1" applyAlignment="1">
      <alignment vertical="center"/>
    </xf>
    <xf numFmtId="0" fontId="0" fillId="2" borderId="2" xfId="0" applyFill="1" applyBorder="1" applyAlignment="1">
      <alignment horizontal="right"/>
    </xf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" fontId="0" fillId="0" borderId="7" xfId="0" applyNumberFormat="1" applyBorder="1"/>
    <xf numFmtId="2" fontId="0" fillId="0" borderId="1" xfId="0" applyNumberFormat="1" applyBorder="1"/>
    <xf numFmtId="2" fontId="0" fillId="0" borderId="8" xfId="0" applyNumberFormat="1" applyBorder="1"/>
    <xf numFmtId="0" fontId="4" fillId="0" borderId="0" xfId="0" applyFont="1" applyBorder="1" applyAlignment="1">
      <alignment horizontal="center" textRotation="90"/>
    </xf>
    <xf numFmtId="0" fontId="0" fillId="0" borderId="0" xfId="0" applyBorder="1"/>
    <xf numFmtId="2" fontId="0" fillId="0" borderId="0" xfId="0" applyNumberFormat="1" applyBorder="1"/>
    <xf numFmtId="0" fontId="0" fillId="6" borderId="1" xfId="0" applyFill="1" applyBorder="1"/>
    <xf numFmtId="0" fontId="0" fillId="6" borderId="8" xfId="0" applyFill="1" applyBorder="1"/>
    <xf numFmtId="0" fontId="0" fillId="7" borderId="1" xfId="0" applyFill="1" applyBorder="1"/>
    <xf numFmtId="0" fontId="0" fillId="7" borderId="6" xfId="0" applyFill="1" applyBorder="1"/>
    <xf numFmtId="0" fontId="0" fillId="0" borderId="6" xfId="0" applyBorder="1"/>
    <xf numFmtId="164" fontId="1" fillId="3" borderId="6" xfId="0" applyNumberFormat="1" applyFont="1" applyFill="1" applyBorder="1" applyAlignment="1">
      <alignment vertical="center"/>
    </xf>
    <xf numFmtId="0" fontId="1" fillId="0" borderId="6" xfId="0" applyFont="1" applyBorder="1"/>
    <xf numFmtId="4" fontId="0" fillId="8" borderId="1" xfId="0" applyNumberFormat="1" applyFill="1" applyBorder="1"/>
    <xf numFmtId="0" fontId="0" fillId="8" borderId="1" xfId="0" applyFill="1" applyBorder="1"/>
    <xf numFmtId="0" fontId="0" fillId="9" borderId="1" xfId="0" applyFill="1" applyBorder="1"/>
    <xf numFmtId="0" fontId="3" fillId="2" borderId="0" xfId="0" applyFont="1" applyFill="1" applyBorder="1"/>
    <xf numFmtId="0" fontId="1" fillId="2" borderId="0" xfId="0" applyFont="1" applyFill="1" applyBorder="1"/>
    <xf numFmtId="0" fontId="2" fillId="2" borderId="0" xfId="0" applyFont="1" applyFill="1" applyBorder="1"/>
    <xf numFmtId="0" fontId="0" fillId="4" borderId="13" xfId="0" applyFill="1" applyBorder="1" applyAlignment="1"/>
    <xf numFmtId="0" fontId="0" fillId="2" borderId="14" xfId="0" applyFill="1" applyBorder="1" applyAlignment="1">
      <alignment horizontal="left"/>
    </xf>
    <xf numFmtId="0" fontId="0" fillId="2" borderId="14" xfId="0" applyFill="1" applyBorder="1" applyAlignment="1">
      <alignment horizontal="right"/>
    </xf>
    <xf numFmtId="0" fontId="0" fillId="2" borderId="14" xfId="0" applyFill="1" applyBorder="1"/>
    <xf numFmtId="0" fontId="1" fillId="4" borderId="12" xfId="0" applyFont="1" applyFill="1" applyBorder="1" applyAlignment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/>
    <xf numFmtId="0" fontId="0" fillId="2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2" xfId="0" applyFill="1" applyBorder="1"/>
    <xf numFmtId="0" fontId="0" fillId="2" borderId="1" xfId="0" applyFill="1" applyBorder="1"/>
    <xf numFmtId="0" fontId="0" fillId="2" borderId="0" xfId="0" applyFill="1" applyBorder="1" applyAlignment="1"/>
    <xf numFmtId="0" fontId="0" fillId="11" borderId="1" xfId="0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0" fontId="0" fillId="2" borderId="13" xfId="0" applyFill="1" applyBorder="1"/>
    <xf numFmtId="2" fontId="0" fillId="2" borderId="1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0" fontId="0" fillId="11" borderId="12" xfId="0" applyFill="1" applyBorder="1"/>
    <xf numFmtId="0" fontId="0" fillId="11" borderId="13" xfId="0" applyFill="1" applyBorder="1" applyAlignment="1">
      <alignment horizontal="left"/>
    </xf>
    <xf numFmtId="0" fontId="0" fillId="11" borderId="13" xfId="0" applyFill="1" applyBorder="1"/>
    <xf numFmtId="0" fontId="0" fillId="11" borderId="15" xfId="0" applyFill="1" applyBorder="1" applyAlignment="1">
      <alignment horizontal="left"/>
    </xf>
    <xf numFmtId="0" fontId="0" fillId="11" borderId="12" xfId="0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4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167" fontId="0" fillId="2" borderId="1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8" borderId="12" xfId="0" applyFill="1" applyBorder="1"/>
    <xf numFmtId="0" fontId="0" fillId="8" borderId="1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13" borderId="0" xfId="0" applyFill="1"/>
    <xf numFmtId="0" fontId="0" fillId="5" borderId="1" xfId="0" applyFill="1" applyBorder="1"/>
    <xf numFmtId="0" fontId="0" fillId="0" borderId="0" xfId="0" applyAlignment="1"/>
    <xf numFmtId="0" fontId="1" fillId="4" borderId="1" xfId="0" applyFont="1" applyFill="1" applyBorder="1" applyAlignment="1">
      <alignment vertical="center"/>
    </xf>
    <xf numFmtId="0" fontId="0" fillId="0" borderId="3" xfId="0" applyBorder="1"/>
    <xf numFmtId="0" fontId="0" fillId="0" borderId="2" xfId="0" applyBorder="1"/>
    <xf numFmtId="0" fontId="0" fillId="0" borderId="16" xfId="0" applyBorder="1"/>
    <xf numFmtId="0" fontId="0" fillId="5" borderId="3" xfId="0" applyFill="1" applyBorder="1"/>
    <xf numFmtId="0" fontId="0" fillId="5" borderId="16" xfId="0" applyFill="1" applyBorder="1"/>
    <xf numFmtId="169" fontId="0" fillId="2" borderId="10" xfId="0" applyNumberFormat="1" applyFill="1" applyBorder="1"/>
    <xf numFmtId="0" fontId="1" fillId="2" borderId="18" xfId="0" applyFont="1" applyFill="1" applyBorder="1"/>
    <xf numFmtId="0" fontId="1" fillId="2" borderId="19" xfId="0" applyFont="1" applyFill="1" applyBorder="1"/>
    <xf numFmtId="0" fontId="1" fillId="2" borderId="20" xfId="0" applyFont="1" applyFill="1" applyBorder="1"/>
    <xf numFmtId="0" fontId="1" fillId="2" borderId="21" xfId="0" applyFont="1" applyFill="1" applyBorder="1"/>
    <xf numFmtId="168" fontId="1" fillId="0" borderId="7" xfId="0" applyNumberFormat="1" applyFont="1" applyFill="1" applyBorder="1"/>
    <xf numFmtId="0" fontId="0" fillId="2" borderId="2" xfId="0" applyFill="1" applyBorder="1" applyAlignment="1"/>
    <xf numFmtId="0" fontId="1" fillId="2" borderId="2" xfId="0" applyFont="1" applyFill="1" applyBorder="1" applyAlignment="1"/>
    <xf numFmtId="168" fontId="1" fillId="0" borderId="10" xfId="0" applyNumberFormat="1" applyFont="1" applyFill="1" applyBorder="1"/>
    <xf numFmtId="2" fontId="1" fillId="4" borderId="1" xfId="0" applyNumberFormat="1" applyFont="1" applyFill="1" applyBorder="1" applyAlignment="1">
      <alignment vertical="center"/>
    </xf>
    <xf numFmtId="0" fontId="14" fillId="0" borderId="1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11" borderId="1" xfId="0" applyFill="1" applyBorder="1" applyAlignment="1">
      <alignment horizontal="right"/>
    </xf>
    <xf numFmtId="0" fontId="0" fillId="2" borderId="1" xfId="0" applyFill="1" applyBorder="1" applyAlignment="1"/>
    <xf numFmtId="0" fontId="0" fillId="2" borderId="12" xfId="0" applyFill="1" applyBorder="1" applyAlignment="1"/>
    <xf numFmtId="0" fontId="0" fillId="2" borderId="4" xfId="0" applyFill="1" applyBorder="1" applyAlignment="1"/>
    <xf numFmtId="0" fontId="0" fillId="4" borderId="13" xfId="0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168" fontId="1" fillId="2" borderId="1" xfId="0" applyNumberFormat="1" applyFont="1" applyFill="1" applyBorder="1"/>
    <xf numFmtId="4" fontId="0" fillId="2" borderId="0" xfId="0" applyNumberFormat="1" applyFill="1" applyBorder="1" applyAlignment="1">
      <alignment vertical="center"/>
    </xf>
    <xf numFmtId="4" fontId="0" fillId="2" borderId="1" xfId="0" applyNumberFormat="1" applyFill="1" applyBorder="1" applyAlignment="1">
      <alignment vertical="center"/>
    </xf>
    <xf numFmtId="0" fontId="0" fillId="8" borderId="5" xfId="0" applyFill="1" applyBorder="1"/>
    <xf numFmtId="0" fontId="0" fillId="8" borderId="14" xfId="0" applyFill="1" applyBorder="1" applyAlignment="1">
      <alignment horizontal="left"/>
    </xf>
    <xf numFmtId="0" fontId="0" fillId="8" borderId="16" xfId="0" applyFill="1" applyBorder="1" applyAlignment="1">
      <alignment horizontal="left"/>
    </xf>
    <xf numFmtId="0" fontId="0" fillId="2" borderId="23" xfId="0" applyFill="1" applyBorder="1"/>
    <xf numFmtId="0" fontId="0" fillId="2" borderId="23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171" fontId="0" fillId="0" borderId="7" xfId="0" applyNumberFormat="1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2" fontId="0" fillId="14" borderId="1" xfId="0" applyNumberFormat="1" applyFill="1" applyBorder="1" applyAlignment="1">
      <alignment horizontal="center"/>
    </xf>
    <xf numFmtId="0" fontId="0" fillId="8" borderId="17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17" borderId="1" xfId="0" applyFill="1" applyBorder="1" applyAlignment="1">
      <alignment horizontal="left"/>
    </xf>
    <xf numFmtId="0" fontId="0" fillId="17" borderId="1" xfId="0" applyFill="1" applyBorder="1"/>
    <xf numFmtId="0" fontId="0" fillId="2" borderId="1" xfId="0" applyFill="1" applyBorder="1" applyAlignment="1">
      <alignment horizontal="center"/>
    </xf>
    <xf numFmtId="4" fontId="0" fillId="2" borderId="1" xfId="0" applyNumberFormat="1" applyFont="1" applyFill="1" applyBorder="1" applyAlignment="1">
      <alignment horizontal="center"/>
    </xf>
    <xf numFmtId="2" fontId="0" fillId="2" borderId="0" xfId="0" applyNumberFormat="1" applyFill="1" applyBorder="1"/>
    <xf numFmtId="0" fontId="0" fillId="8" borderId="1" xfId="0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8" borderId="6" xfId="0" applyNumberFormat="1" applyFill="1" applyBorder="1" applyAlignment="1">
      <alignment horizontal="left"/>
    </xf>
    <xf numFmtId="4" fontId="18" fillId="2" borderId="0" xfId="0" applyNumberFormat="1" applyFont="1" applyFill="1" applyBorder="1" applyAlignment="1">
      <alignment vertical="center"/>
    </xf>
    <xf numFmtId="0" fontId="0" fillId="4" borderId="1" xfId="0" applyFill="1" applyBorder="1" applyAlignment="1"/>
    <xf numFmtId="0" fontId="8" fillId="4" borderId="1" xfId="0" applyFont="1" applyFill="1" applyBorder="1" applyAlignment="1"/>
    <xf numFmtId="0" fontId="5" fillId="10" borderId="7" xfId="0" applyFont="1" applyFill="1" applyBorder="1" applyAlignment="1" applyProtection="1">
      <alignment vertical="center"/>
      <protection locked="0"/>
    </xf>
    <xf numFmtId="0" fontId="5" fillId="3" borderId="1" xfId="0" applyFont="1" applyFill="1" applyBorder="1" applyAlignment="1">
      <alignment vertical="center"/>
    </xf>
    <xf numFmtId="0" fontId="19" fillId="11" borderId="1" xfId="0" applyFont="1" applyFill="1" applyBorder="1" applyAlignment="1">
      <alignment vertical="center"/>
    </xf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left"/>
    </xf>
    <xf numFmtId="0" fontId="14" fillId="2" borderId="0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center"/>
    </xf>
    <xf numFmtId="2" fontId="0" fillId="8" borderId="22" xfId="0" applyNumberFormat="1" applyFill="1" applyBorder="1" applyAlignment="1">
      <alignment horizontal="left"/>
    </xf>
    <xf numFmtId="0" fontId="8" fillId="15" borderId="1" xfId="0" applyFont="1" applyFill="1" applyBorder="1" applyAlignment="1">
      <alignment horizontal="center"/>
    </xf>
    <xf numFmtId="0" fontId="0" fillId="2" borderId="0" xfId="0" applyFill="1" applyBorder="1" applyAlignment="1">
      <alignment vertical="center"/>
    </xf>
    <xf numFmtId="0" fontId="0" fillId="8" borderId="7" xfId="0" applyFill="1" applyBorder="1" applyAlignment="1">
      <alignment horizontal="left"/>
    </xf>
    <xf numFmtId="0" fontId="0" fillId="8" borderId="1" xfId="0" applyFill="1" applyBorder="1" applyAlignment="1">
      <alignment horizontal="left"/>
    </xf>
    <xf numFmtId="168" fontId="1" fillId="2" borderId="12" xfId="0" applyNumberFormat="1" applyFont="1" applyFill="1" applyBorder="1"/>
    <xf numFmtId="0" fontId="0" fillId="8" borderId="6" xfId="0" applyFill="1" applyBorder="1" applyAlignment="1">
      <alignment horizontal="left"/>
    </xf>
    <xf numFmtId="0" fontId="19" fillId="0" borderId="1" xfId="0" applyFont="1" applyFill="1" applyBorder="1" applyAlignment="1">
      <alignment vertical="center"/>
    </xf>
    <xf numFmtId="0" fontId="8" fillId="8" borderId="7" xfId="0" applyFont="1" applyFill="1" applyBorder="1" applyAlignment="1">
      <alignment horizontal="left"/>
    </xf>
    <xf numFmtId="2" fontId="20" fillId="2" borderId="1" xfId="0" applyNumberFormat="1" applyFont="1" applyFill="1" applyBorder="1" applyAlignment="1">
      <alignment horizontal="center"/>
    </xf>
    <xf numFmtId="0" fontId="5" fillId="10" borderId="1" xfId="0" applyFont="1" applyFill="1" applyBorder="1" applyAlignment="1" applyProtection="1">
      <alignment vertical="center"/>
      <protection locked="0"/>
    </xf>
    <xf numFmtId="164" fontId="5" fillId="3" borderId="13" xfId="0" applyNumberFormat="1" applyFont="1" applyFill="1" applyBorder="1" applyAlignment="1">
      <alignment vertical="center"/>
    </xf>
    <xf numFmtId="168" fontId="5" fillId="0" borderId="7" xfId="0" applyNumberFormat="1" applyFont="1" applyFill="1" applyBorder="1"/>
    <xf numFmtId="0" fontId="5" fillId="3" borderId="10" xfId="0" applyFont="1" applyFill="1" applyBorder="1" applyAlignment="1">
      <alignment vertical="center"/>
    </xf>
    <xf numFmtId="0" fontId="8" fillId="2" borderId="1" xfId="0" applyFont="1" applyFill="1" applyBorder="1"/>
    <xf numFmtId="2" fontId="0" fillId="2" borderId="1" xfId="0" applyNumberFormat="1" applyFill="1" applyBorder="1" applyAlignment="1"/>
    <xf numFmtId="2" fontId="0" fillId="2" borderId="6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0" fontId="8" fillId="3" borderId="1" xfId="0" applyFont="1" applyFill="1" applyBorder="1" applyAlignment="1"/>
    <xf numFmtId="0" fontId="0" fillId="2" borderId="1" xfId="0" applyFill="1" applyBorder="1" applyAlignment="1">
      <alignment horizontal="center"/>
    </xf>
    <xf numFmtId="0" fontId="1" fillId="2" borderId="12" xfId="0" applyFont="1" applyFill="1" applyBorder="1"/>
    <xf numFmtId="0" fontId="0" fillId="2" borderId="4" xfId="0" applyFill="1" applyBorder="1"/>
    <xf numFmtId="0" fontId="1" fillId="2" borderId="25" xfId="0" applyFont="1" applyFill="1" applyBorder="1" applyAlignment="1">
      <alignment horizontal="left"/>
    </xf>
    <xf numFmtId="173" fontId="8" fillId="2" borderId="13" xfId="0" applyNumberFormat="1" applyFont="1" applyFill="1" applyBorder="1" applyAlignment="1">
      <alignment horizontal="left"/>
    </xf>
    <xf numFmtId="167" fontId="5" fillId="5" borderId="1" xfId="0" applyNumberFormat="1" applyFont="1" applyFill="1" applyBorder="1" applyAlignment="1">
      <alignment horizontal="center"/>
    </xf>
    <xf numFmtId="172" fontId="8" fillId="16" borderId="1" xfId="0" applyNumberFormat="1" applyFont="1" applyFill="1" applyBorder="1" applyAlignment="1">
      <alignment horizontal="left"/>
    </xf>
    <xf numFmtId="174" fontId="0" fillId="2" borderId="0" xfId="0" applyNumberFormat="1" applyFill="1" applyBorder="1"/>
    <xf numFmtId="175" fontId="0" fillId="2" borderId="0" xfId="0" applyNumberFormat="1" applyFill="1" applyBorder="1"/>
    <xf numFmtId="176" fontId="0" fillId="2" borderId="0" xfId="0" applyNumberFormat="1" applyFill="1" applyBorder="1" applyAlignment="1">
      <alignment horizontal="left"/>
    </xf>
    <xf numFmtId="177" fontId="14" fillId="2" borderId="0" xfId="0" applyNumberFormat="1" applyFont="1" applyFill="1" applyBorder="1" applyAlignment="1">
      <alignment horizontal="left"/>
    </xf>
    <xf numFmtId="0" fontId="0" fillId="2" borderId="5" xfId="0" applyFill="1" applyBorder="1" applyAlignment="1">
      <alignment horizontal="right"/>
    </xf>
    <xf numFmtId="0" fontId="0" fillId="2" borderId="16" xfId="0" applyFill="1" applyBorder="1" applyAlignment="1">
      <alignment horizontal="left"/>
    </xf>
    <xf numFmtId="0" fontId="1" fillId="4" borderId="12" xfId="0" applyFont="1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0" borderId="0" xfId="0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4" borderId="12" xfId="0" applyFill="1" applyBorder="1" applyAlignment="1">
      <alignment horizontal="left"/>
    </xf>
    <xf numFmtId="168" fontId="1" fillId="2" borderId="1" xfId="0" applyNumberFormat="1" applyFont="1" applyFill="1" applyBorder="1" applyAlignment="1">
      <alignment horizontal="left"/>
    </xf>
    <xf numFmtId="170" fontId="0" fillId="2" borderId="1" xfId="0" applyNumberFormat="1" applyFill="1" applyBorder="1" applyAlignment="1">
      <alignment horizontal="left"/>
    </xf>
    <xf numFmtId="168" fontId="1" fillId="0" borderId="7" xfId="0" applyNumberFormat="1" applyFon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5" fillId="2" borderId="0" xfId="0" applyFont="1" applyFill="1" applyBorder="1"/>
    <xf numFmtId="0" fontId="23" fillId="2" borderId="0" xfId="0" applyFont="1" applyFill="1" applyBorder="1" applyAlignment="1"/>
    <xf numFmtId="164" fontId="5" fillId="3" borderId="1" xfId="0" applyNumberFormat="1" applyFont="1" applyFill="1" applyBorder="1" applyAlignment="1">
      <alignment vertical="center"/>
    </xf>
    <xf numFmtId="0" fontId="8" fillId="2" borderId="5" xfId="0" applyFont="1" applyFill="1" applyBorder="1"/>
    <xf numFmtId="0" fontId="0" fillId="2" borderId="17" xfId="0" applyFill="1" applyBorder="1" applyAlignment="1">
      <alignment horizontal="left"/>
    </xf>
    <xf numFmtId="0" fontId="8" fillId="3" borderId="1" xfId="0" applyFont="1" applyFill="1" applyBorder="1" applyAlignment="1">
      <alignment horizontal="left"/>
    </xf>
    <xf numFmtId="0" fontId="8" fillId="3" borderId="8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2" fontId="0" fillId="2" borderId="22" xfId="0" applyNumberFormat="1" applyFill="1" applyBorder="1" applyAlignment="1">
      <alignment horizontal="left"/>
    </xf>
    <xf numFmtId="2" fontId="0" fillId="2" borderId="3" xfId="0" applyNumberFormat="1" applyFill="1" applyBorder="1" applyAlignment="1">
      <alignment horizontal="left"/>
    </xf>
    <xf numFmtId="2" fontId="0" fillId="2" borderId="7" xfId="0" applyNumberFormat="1" applyFill="1" applyBorder="1" applyAlignment="1">
      <alignment horizontal="left"/>
    </xf>
    <xf numFmtId="2" fontId="0" fillId="2" borderId="16" xfId="0" applyNumberFormat="1" applyFill="1" applyBorder="1" applyAlignment="1">
      <alignment horizontal="left"/>
    </xf>
    <xf numFmtId="2" fontId="0" fillId="2" borderId="1" xfId="0" applyNumberFormat="1" applyFill="1" applyBorder="1" applyAlignment="1">
      <alignment horizontal="left"/>
    </xf>
    <xf numFmtId="0" fontId="0" fillId="0" borderId="12" xfId="0" applyBorder="1"/>
    <xf numFmtId="0" fontId="0" fillId="0" borderId="4" xfId="0" applyBorder="1"/>
    <xf numFmtId="0" fontId="0" fillId="0" borderId="1" xfId="0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0" borderId="1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5" borderId="1" xfId="0" applyFill="1" applyBorder="1" applyAlignment="1">
      <alignment horizontal="left"/>
    </xf>
    <xf numFmtId="0" fontId="14" fillId="3" borderId="1" xfId="0" applyFont="1" applyFill="1" applyBorder="1" applyAlignment="1">
      <alignment horizontal="left"/>
    </xf>
    <xf numFmtId="0" fontId="24" fillId="2" borderId="0" xfId="0" applyFont="1" applyFill="1"/>
    <xf numFmtId="0" fontId="25" fillId="2" borderId="0" xfId="0" applyFont="1" applyFill="1" applyBorder="1" applyAlignment="1">
      <alignment horizontal="left"/>
    </xf>
    <xf numFmtId="0" fontId="0" fillId="2" borderId="13" xfId="0" applyFill="1" applyBorder="1" applyAlignment="1"/>
    <xf numFmtId="0" fontId="26" fillId="2" borderId="12" xfId="0" applyFont="1" applyFill="1" applyBorder="1" applyAlignment="1"/>
    <xf numFmtId="0" fontId="26" fillId="2" borderId="13" xfId="0" applyFont="1" applyFill="1" applyBorder="1" applyAlignment="1"/>
    <xf numFmtId="0" fontId="26" fillId="2" borderId="4" xfId="0" applyFont="1" applyFill="1" applyBorder="1" applyAlignment="1"/>
    <xf numFmtId="2" fontId="26" fillId="2" borderId="7" xfId="0" applyNumberFormat="1" applyFont="1" applyFill="1" applyBorder="1" applyAlignment="1">
      <alignment horizontal="left"/>
    </xf>
    <xf numFmtId="2" fontId="26" fillId="2" borderId="16" xfId="0" applyNumberFormat="1" applyFont="1" applyFill="1" applyBorder="1" applyAlignment="1">
      <alignment horizontal="left"/>
    </xf>
    <xf numFmtId="0" fontId="0" fillId="4" borderId="14" xfId="0" applyFill="1" applyBorder="1" applyAlignment="1"/>
    <xf numFmtId="2" fontId="0" fillId="2" borderId="0" xfId="0" applyNumberFormat="1" applyFill="1" applyBorder="1" applyAlignment="1">
      <alignment horizontal="center"/>
    </xf>
    <xf numFmtId="0" fontId="0" fillId="4" borderId="0" xfId="0" applyFill="1" applyBorder="1" applyAlignment="1"/>
    <xf numFmtId="0" fontId="2" fillId="2" borderId="0" xfId="0" applyFont="1" applyFill="1" applyBorder="1" applyAlignment="1">
      <alignment horizontal="left"/>
    </xf>
    <xf numFmtId="0" fontId="0" fillId="4" borderId="17" xfId="0" applyFill="1" applyBorder="1" applyAlignment="1"/>
    <xf numFmtId="0" fontId="0" fillId="5" borderId="0" xfId="0" applyFill="1" applyBorder="1" applyAlignment="1">
      <alignment horizontal="left"/>
    </xf>
    <xf numFmtId="0" fontId="1" fillId="5" borderId="0" xfId="0" applyFont="1" applyFill="1" applyBorder="1" applyAlignment="1">
      <alignment horizontal="left"/>
    </xf>
    <xf numFmtId="0" fontId="0" fillId="5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5" borderId="1" xfId="0" applyFill="1" applyBorder="1" applyAlignment="1">
      <alignment horizontal="center" wrapText="1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12" borderId="1" xfId="0" applyFill="1" applyBorder="1" applyAlignment="1">
      <alignment horizontal="center"/>
    </xf>
    <xf numFmtId="0" fontId="0" fillId="11" borderId="12" xfId="0" applyFill="1" applyBorder="1" applyAlignment="1">
      <alignment horizontal="center" wrapText="1"/>
    </xf>
    <xf numFmtId="0" fontId="0" fillId="11" borderId="12" xfId="0" applyFill="1" applyBorder="1" applyAlignment="1">
      <alignment horizontal="center"/>
    </xf>
    <xf numFmtId="0" fontId="20" fillId="2" borderId="1" xfId="0" applyFont="1" applyFill="1" applyBorder="1" applyAlignment="1">
      <alignment horizontal="center" wrapText="1"/>
    </xf>
    <xf numFmtId="0" fontId="20" fillId="2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 wrapText="1"/>
    </xf>
    <xf numFmtId="0" fontId="0" fillId="11" borderId="1" xfId="0" applyFill="1" applyBorder="1" applyAlignment="1">
      <alignment horizontal="center"/>
    </xf>
    <xf numFmtId="4" fontId="0" fillId="2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 textRotation="90"/>
    </xf>
    <xf numFmtId="0" fontId="0" fillId="2" borderId="4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7" xfId="0" applyFont="1" applyBorder="1" applyAlignment="1">
      <alignment horizontal="center" textRotation="90"/>
    </xf>
    <xf numFmtId="0" fontId="4" fillId="0" borderId="1" xfId="0" applyFont="1" applyBorder="1" applyAlignment="1">
      <alignment horizontal="center" textRotation="90"/>
    </xf>
    <xf numFmtId="0" fontId="4" fillId="0" borderId="8" xfId="0" applyFont="1" applyBorder="1" applyAlignment="1">
      <alignment horizontal="center" textRotation="90"/>
    </xf>
    <xf numFmtId="0" fontId="4" fillId="0" borderId="6" xfId="0" applyFont="1" applyBorder="1" applyAlignment="1">
      <alignment horizontal="center" textRotation="90"/>
    </xf>
    <xf numFmtId="166" fontId="0" fillId="0" borderId="1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4" fillId="0" borderId="4" xfId="0" applyFont="1" applyBorder="1" applyAlignment="1">
      <alignment horizontal="center" textRotation="90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19050</xdr:rowOff>
        </xdr:from>
        <xdr:to>
          <xdr:col>9</xdr:col>
          <xdr:colOff>552450</xdr:colOff>
          <xdr:row>3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Pipe_Data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Pipe_culvert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</xdr:row>
          <xdr:rowOff>9525</xdr:rowOff>
        </xdr:from>
        <xdr:to>
          <xdr:col>5</xdr:col>
          <xdr:colOff>466725</xdr:colOff>
          <xdr:row>3</xdr:row>
          <xdr:rowOff>47625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Pipe_CU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171450</xdr:rowOff>
        </xdr:from>
        <xdr:to>
          <xdr:col>6</xdr:col>
          <xdr:colOff>219075</xdr:colOff>
          <xdr:row>21</xdr:row>
          <xdr:rowOff>95250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drw_RW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22</xdr:row>
          <xdr:rowOff>28575</xdr:rowOff>
        </xdr:from>
        <xdr:to>
          <xdr:col>6</xdr:col>
          <xdr:colOff>161925</xdr:colOff>
          <xdr:row>23</xdr:row>
          <xdr:rowOff>142875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drw_Box_cul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19</xdr:row>
          <xdr:rowOff>171450</xdr:rowOff>
        </xdr:from>
        <xdr:to>
          <xdr:col>3</xdr:col>
          <xdr:colOff>200025</xdr:colOff>
          <xdr:row>21</xdr:row>
          <xdr:rowOff>152400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drw_Slab_cul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3</xdr:row>
          <xdr:rowOff>95250</xdr:rowOff>
        </xdr:from>
        <xdr:to>
          <xdr:col>7</xdr:col>
          <xdr:colOff>104775</xdr:colOff>
          <xdr:row>5</xdr:row>
          <xdr:rowOff>28575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Go_2_Qty_sheet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13</xdr:row>
          <xdr:rowOff>85725</xdr:rowOff>
        </xdr:from>
        <xdr:to>
          <xdr:col>8</xdr:col>
          <xdr:colOff>685800</xdr:colOff>
          <xdr:row>14</xdr:row>
          <xdr:rowOff>95250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14</xdr:row>
          <xdr:rowOff>180975</xdr:rowOff>
        </xdr:from>
        <xdr:to>
          <xdr:col>8</xdr:col>
          <xdr:colOff>685800</xdr:colOff>
          <xdr:row>15</xdr:row>
          <xdr:rowOff>180975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16</xdr:row>
          <xdr:rowOff>57150</xdr:rowOff>
        </xdr:from>
        <xdr:to>
          <xdr:col>8</xdr:col>
          <xdr:colOff>685800</xdr:colOff>
          <xdr:row>17</xdr:row>
          <xdr:rowOff>85725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11</xdr:row>
          <xdr:rowOff>114300</xdr:rowOff>
        </xdr:from>
        <xdr:to>
          <xdr:col>8</xdr:col>
          <xdr:colOff>685800</xdr:colOff>
          <xdr:row>13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get_Slope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19</xdr:row>
          <xdr:rowOff>171450</xdr:rowOff>
        </xdr:from>
        <xdr:to>
          <xdr:col>4</xdr:col>
          <xdr:colOff>342900</xdr:colOff>
          <xdr:row>21</xdr:row>
          <xdr:rowOff>161925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drw_Chk_Dm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3</xdr:row>
          <xdr:rowOff>76200</xdr:rowOff>
        </xdr:from>
        <xdr:to>
          <xdr:col>2</xdr:col>
          <xdr:colOff>523875</xdr:colOff>
          <xdr:row>5</xdr:row>
          <xdr:rowOff>152400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</xdr:row>
          <xdr:rowOff>38100</xdr:rowOff>
        </xdr:from>
        <xdr:to>
          <xdr:col>8</xdr:col>
          <xdr:colOff>314325</xdr:colOff>
          <xdr:row>2</xdr:row>
          <xdr:rowOff>152400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9525</xdr:rowOff>
        </xdr:from>
        <xdr:to>
          <xdr:col>4</xdr:col>
          <xdr:colOff>647700</xdr:colOff>
          <xdr:row>51</xdr:row>
          <xdr:rowOff>76200</xdr:rowOff>
        </xdr:to>
        <xdr:sp macro="" textlink="">
          <xdr:nvSpPr>
            <xdr:cNvPr id="18456" name="Object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4</xdr:row>
          <xdr:rowOff>47625</xdr:rowOff>
        </xdr:from>
        <xdr:to>
          <xdr:col>1</xdr:col>
          <xdr:colOff>742950</xdr:colOff>
          <xdr:row>6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133350</xdr:rowOff>
        </xdr:from>
        <xdr:to>
          <xdr:col>1</xdr:col>
          <xdr:colOff>742950</xdr:colOff>
          <xdr:row>3</xdr:row>
          <xdr:rowOff>152400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114300</xdr:rowOff>
        </xdr:from>
        <xdr:to>
          <xdr:col>1</xdr:col>
          <xdr:colOff>285750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</xdr:row>
          <xdr:rowOff>38100</xdr:rowOff>
        </xdr:from>
        <xdr:to>
          <xdr:col>5</xdr:col>
          <xdr:colOff>323850</xdr:colOff>
          <xdr:row>5</xdr:row>
          <xdr:rowOff>85725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Chk_Dm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114300</xdr:rowOff>
        </xdr:from>
        <xdr:to>
          <xdr:col>1</xdr:col>
          <xdr:colOff>104775</xdr:colOff>
          <xdr:row>3</xdr:row>
          <xdr:rowOff>38100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47625</xdr:rowOff>
        </xdr:from>
        <xdr:to>
          <xdr:col>1</xdr:col>
          <xdr:colOff>228600</xdr:colOff>
          <xdr:row>5</xdr:row>
          <xdr:rowOff>38100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ty_Mino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C_BC_stand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"/>
      <sheetName val="Pipe"/>
      <sheetName val="Slab"/>
      <sheetName val="Box"/>
      <sheetName val="Pipe Culvert"/>
      <sheetName val="Schedule"/>
      <sheetName val="Variabel data"/>
      <sheetName val="excav"/>
      <sheetName val="mo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E21">
            <v>0.39345635258723632</v>
          </cell>
        </row>
        <row r="22">
          <cell r="A22">
            <v>971.08721545599292</v>
          </cell>
          <cell r="B22">
            <v>-30159.561961695799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_@Fill"/>
      <sheetName val="SC_@Grade"/>
      <sheetName val="BC_@Fill"/>
      <sheetName val="BC_@Grade"/>
      <sheetName val="wardar_@fill"/>
      <sheetName val="wardar_@Grade"/>
      <sheetName val="Sheet3"/>
    </sheetNames>
    <sheetDataSet>
      <sheetData sheetId="0">
        <row r="21">
          <cell r="G21">
            <v>0.20499999999999999</v>
          </cell>
        </row>
      </sheetData>
      <sheetData sheetId="1"/>
      <sheetData sheetId="2">
        <row r="5">
          <cell r="A5" t="str">
            <v>H</v>
          </cell>
          <cell r="B5" t="str">
            <v>DT</v>
          </cell>
          <cell r="C5" t="str">
            <v>D</v>
          </cell>
          <cell r="D5" t="str">
            <v>HT</v>
          </cell>
          <cell r="E5" t="str">
            <v>L</v>
          </cell>
          <cell r="F5" t="str">
            <v>K1</v>
          </cell>
          <cell r="G5" t="str">
            <v>K2</v>
          </cell>
        </row>
        <row r="6">
          <cell r="A6">
            <v>1</v>
          </cell>
          <cell r="B6">
            <v>0.35</v>
          </cell>
          <cell r="C6">
            <v>0.6</v>
          </cell>
          <cell r="D6" t="str">
            <v>2A+1.72</v>
          </cell>
          <cell r="E6">
            <v>1.2</v>
          </cell>
          <cell r="F6">
            <v>1.7</v>
          </cell>
          <cell r="G6">
            <v>1.2</v>
          </cell>
        </row>
        <row r="7">
          <cell r="A7">
            <v>1.5</v>
          </cell>
          <cell r="B7">
            <v>0.35</v>
          </cell>
          <cell r="C7">
            <v>0.9</v>
          </cell>
          <cell r="D7" t="str">
            <v>2A+2.22</v>
          </cell>
          <cell r="E7">
            <v>1.65</v>
          </cell>
          <cell r="F7">
            <v>2.1</v>
          </cell>
          <cell r="G7">
            <v>1.4</v>
          </cell>
        </row>
        <row r="8">
          <cell r="A8">
            <v>2</v>
          </cell>
          <cell r="B8">
            <v>0.35</v>
          </cell>
          <cell r="C8">
            <v>1.1000000000000001</v>
          </cell>
          <cell r="D8" t="str">
            <v>2A+2.72</v>
          </cell>
          <cell r="E8">
            <v>1.95</v>
          </cell>
          <cell r="F8">
            <v>2.5</v>
          </cell>
          <cell r="G8">
            <v>1.6</v>
          </cell>
        </row>
        <row r="9">
          <cell r="A9">
            <v>2.5</v>
          </cell>
          <cell r="B9">
            <v>0.35</v>
          </cell>
          <cell r="C9">
            <v>1.4</v>
          </cell>
          <cell r="D9" t="str">
            <v>2A+3.22</v>
          </cell>
          <cell r="E9">
            <v>2.4</v>
          </cell>
          <cell r="F9">
            <v>2.9</v>
          </cell>
          <cell r="G9">
            <v>1.8</v>
          </cell>
        </row>
        <row r="10">
          <cell r="A10">
            <v>3</v>
          </cell>
          <cell r="B10">
            <v>0.35</v>
          </cell>
          <cell r="C10">
            <v>1.6</v>
          </cell>
          <cell r="D10" t="str">
            <v>2A+3.72</v>
          </cell>
          <cell r="E10">
            <v>2.7</v>
          </cell>
          <cell r="F10">
            <v>3.3</v>
          </cell>
          <cell r="G10">
            <v>2</v>
          </cell>
        </row>
        <row r="11">
          <cell r="A11">
            <v>3.5</v>
          </cell>
          <cell r="B11">
            <v>0.35</v>
          </cell>
          <cell r="C11">
            <v>1.9</v>
          </cell>
          <cell r="D11" t="str">
            <v>2A+4.22</v>
          </cell>
          <cell r="E11">
            <v>3.15</v>
          </cell>
          <cell r="F11">
            <v>3.7</v>
          </cell>
          <cell r="G11">
            <v>2.2000000000000002</v>
          </cell>
        </row>
        <row r="12">
          <cell r="A12">
            <v>4</v>
          </cell>
          <cell r="B12">
            <v>0.35</v>
          </cell>
          <cell r="C12">
            <v>2.1</v>
          </cell>
          <cell r="D12" t="str">
            <v>2A+4.72</v>
          </cell>
          <cell r="E12">
            <v>3.45</v>
          </cell>
          <cell r="F12">
            <v>4.0999999999999996</v>
          </cell>
          <cell r="G12">
            <v>2.4</v>
          </cell>
        </row>
        <row r="13">
          <cell r="A13">
            <v>4.5</v>
          </cell>
          <cell r="B13">
            <v>0.35</v>
          </cell>
          <cell r="C13">
            <v>2.4</v>
          </cell>
          <cell r="D13" t="str">
            <v>2A+5.22</v>
          </cell>
          <cell r="E13">
            <v>3.9</v>
          </cell>
          <cell r="F13">
            <v>4.5</v>
          </cell>
          <cell r="G13">
            <v>2.6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AV106"/>
  <sheetViews>
    <sheetView zoomScale="85" zoomScaleNormal="85" workbookViewId="0">
      <pane xSplit="8865" ySplit="2730" topLeftCell="L13"/>
      <selection activeCell="D7" sqref="D7"/>
      <selection pane="topRight" activeCell="L8" sqref="L8"/>
      <selection pane="bottomLeft" activeCell="D12" sqref="D12"/>
      <selection pane="bottomRight" activeCell="L12" sqref="L12"/>
    </sheetView>
  </sheetViews>
  <sheetFormatPr defaultRowHeight="15" x14ac:dyDescent="0.25"/>
  <cols>
    <col min="1" max="1" width="6.85546875" customWidth="1"/>
    <col min="2" max="2" width="10.140625" customWidth="1"/>
    <col min="3" max="3" width="9.140625" customWidth="1"/>
    <col min="4" max="4" width="12.140625" customWidth="1"/>
    <col min="5" max="5" width="9.5703125" customWidth="1"/>
    <col min="6" max="6" width="8.42578125" customWidth="1"/>
    <col min="7" max="7" width="10.140625" customWidth="1"/>
    <col min="8" max="8" width="5" customWidth="1"/>
    <col min="9" max="9" width="12.7109375" customWidth="1"/>
    <col min="10" max="10" width="11.42578125" customWidth="1"/>
    <col min="11" max="11" width="9" customWidth="1"/>
    <col min="12" max="12" width="14.28515625" bestFit="1" customWidth="1"/>
    <col min="16" max="16" width="14.28515625" bestFit="1" customWidth="1"/>
    <col min="18" max="23" width="9.140625" style="17"/>
    <col min="48" max="48" width="12.42578125" bestFit="1" customWidth="1"/>
  </cols>
  <sheetData>
    <row r="1" spans="1:48" ht="15.75" thickBot="1" x14ac:dyDescent="0.3">
      <c r="A1" s="36" t="s">
        <v>173</v>
      </c>
      <c r="B1" s="32"/>
      <c r="C1" s="32"/>
      <c r="D1" s="121" t="s">
        <v>167</v>
      </c>
      <c r="E1" s="120" t="s">
        <v>168</v>
      </c>
      <c r="F1" s="32"/>
      <c r="G1" s="32"/>
      <c r="H1" s="32"/>
      <c r="I1" s="32"/>
      <c r="J1" s="205"/>
      <c r="K1" s="207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</row>
    <row r="2" spans="1:48" ht="15.75" thickTop="1" x14ac:dyDescent="0.25">
      <c r="A2" s="6">
        <v>17</v>
      </c>
      <c r="B2" s="30"/>
      <c r="C2" s="31" t="str">
        <f ca="1">CHAR(RANDBETWEEN(65, 91)) &amp; CHAR(RANDBETWEEN(97, 122)) &amp; CHAR(RANDBETWEEN(65, 91)) &amp; CHAR(RANDBETWEEN(65, 91)) &amp; CHAR(RANDBETWEEN(97, 122))</f>
        <v>[vTIq</v>
      </c>
      <c r="D2" s="76" t="s">
        <v>33</v>
      </c>
      <c r="E2" s="5"/>
      <c r="F2" s="5"/>
      <c r="G2" s="5"/>
      <c r="H2" s="5"/>
      <c r="I2" s="29"/>
      <c r="J2" s="206" t="str">
        <f ca="1">CHAR(RANDBETWEEN(97,122))&amp;CHAR(RANDBETWEEN(65,90))&amp;CHAR(RANDBETWEEN(97,122))&amp;CHAR(RANDBETWEEN(65,90))</f>
        <v>dZdE</v>
      </c>
      <c r="K2" s="2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10"/>
      <c r="Y2" s="210"/>
      <c r="Z2" s="210"/>
    </row>
    <row r="3" spans="1:48" ht="15.75" thickBot="1" x14ac:dyDescent="0.3">
      <c r="A3" s="4"/>
      <c r="B3" s="30" t="s">
        <v>1</v>
      </c>
      <c r="C3" s="5"/>
      <c r="D3" s="77" t="s">
        <v>106</v>
      </c>
      <c r="E3" s="5"/>
      <c r="F3" s="2"/>
      <c r="G3" s="2"/>
      <c r="H3" s="2"/>
      <c r="I3" s="2"/>
      <c r="J3" s="2"/>
      <c r="K3" s="2"/>
      <c r="L3" s="209" t="s">
        <v>229</v>
      </c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10"/>
      <c r="Y3" s="210"/>
      <c r="Z3" s="210"/>
    </row>
    <row r="4" spans="1:48" ht="16.5" thickTop="1" thickBot="1" x14ac:dyDescent="0.3">
      <c r="A4" s="4"/>
      <c r="B4" s="143">
        <v>1220</v>
      </c>
      <c r="C4" s="1"/>
      <c r="D4" s="69">
        <v>-1</v>
      </c>
      <c r="E4" s="5"/>
      <c r="F4" s="2"/>
      <c r="G4" s="2"/>
      <c r="H4" s="2"/>
      <c r="I4" s="2"/>
      <c r="J4" s="2"/>
      <c r="K4" s="2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10"/>
      <c r="Y4" s="210"/>
      <c r="Z4" s="210"/>
    </row>
    <row r="5" spans="1:48" ht="16.5" thickTop="1" thickBot="1" x14ac:dyDescent="0.3">
      <c r="A5" s="30"/>
      <c r="B5" s="75">
        <f>VLOOKUP(B4,AR8:AS12,2)</f>
        <v>48</v>
      </c>
      <c r="C5" s="5"/>
      <c r="D5" s="2"/>
      <c r="E5" s="5"/>
      <c r="F5" s="2"/>
      <c r="G5" s="2"/>
      <c r="H5" s="2"/>
      <c r="I5" s="37" t="s">
        <v>30</v>
      </c>
      <c r="J5" s="37" t="s">
        <v>29</v>
      </c>
      <c r="K5" s="2"/>
      <c r="L5" s="208"/>
      <c r="M5" s="208" t="s">
        <v>230</v>
      </c>
      <c r="N5" s="208"/>
      <c r="O5" s="208"/>
      <c r="P5" s="208"/>
      <c r="Q5" s="208"/>
      <c r="R5" s="208"/>
      <c r="S5" s="208"/>
      <c r="T5" s="208"/>
      <c r="U5" s="208"/>
      <c r="V5" s="208"/>
      <c r="W5" s="208"/>
      <c r="X5" s="210"/>
      <c r="Y5" s="210"/>
      <c r="Z5" s="210"/>
    </row>
    <row r="6" spans="1:48" ht="16.5" thickTop="1" thickBot="1" x14ac:dyDescent="0.3">
      <c r="A6" s="8"/>
      <c r="B6" s="5"/>
      <c r="C6" s="5"/>
      <c r="D6" s="173" t="str">
        <f>IF(D7="MS_RW","?????","")</f>
        <v/>
      </c>
      <c r="E6" s="5"/>
      <c r="F6" s="2"/>
      <c r="G6" s="173" t="str">
        <f>IF(G7="MS_RW","?????","")</f>
        <v/>
      </c>
      <c r="H6" s="2"/>
      <c r="I6" s="84">
        <f>VLOOKUP(B4,$AU$8:$AV$12,2)</f>
        <v>0.1</v>
      </c>
      <c r="J6" s="140">
        <v>1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10"/>
      <c r="Y6" s="210"/>
      <c r="Z6" s="210"/>
      <c r="AA6" s="210"/>
      <c r="AB6" s="210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R6" s="212" t="s">
        <v>112</v>
      </c>
      <c r="AS6" s="212"/>
      <c r="AU6" s="212" t="s">
        <v>112</v>
      </c>
      <c r="AV6" s="212"/>
    </row>
    <row r="7" spans="1:48" ht="16.5" thickTop="1" thickBot="1" x14ac:dyDescent="0.3">
      <c r="A7" s="8"/>
      <c r="B7" s="78" t="s">
        <v>107</v>
      </c>
      <c r="C7" s="79"/>
      <c r="D7" s="141" t="s">
        <v>184</v>
      </c>
      <c r="E7" s="78" t="s">
        <v>0</v>
      </c>
      <c r="F7" s="153"/>
      <c r="G7" s="175" t="s">
        <v>184</v>
      </c>
      <c r="H7" s="2"/>
      <c r="I7" s="2"/>
      <c r="J7" s="2"/>
      <c r="K7" s="2"/>
      <c r="L7" s="208" t="s">
        <v>228</v>
      </c>
      <c r="M7" s="208"/>
      <c r="N7" s="208"/>
      <c r="O7" s="208"/>
      <c r="P7" s="208"/>
      <c r="Q7" s="208"/>
      <c r="R7" s="208"/>
      <c r="S7" s="208"/>
      <c r="T7" s="208"/>
      <c r="U7" s="208"/>
      <c r="V7" s="208"/>
      <c r="W7" s="208"/>
      <c r="X7" s="210"/>
      <c r="Y7" s="210"/>
      <c r="Z7" s="210"/>
      <c r="AA7" s="210"/>
      <c r="AB7" s="210"/>
      <c r="AC7" s="210"/>
      <c r="AD7" s="210"/>
      <c r="AE7" s="210"/>
      <c r="AF7" s="210"/>
      <c r="AG7" s="210"/>
      <c r="AH7" s="210"/>
      <c r="AI7" s="210"/>
      <c r="AJ7" s="210"/>
      <c r="AK7" s="210"/>
      <c r="AL7" s="210"/>
      <c r="AM7" s="210"/>
      <c r="AR7" s="9" t="s">
        <v>26</v>
      </c>
      <c r="AS7" s="9" t="s">
        <v>66</v>
      </c>
      <c r="AU7" s="9" t="s">
        <v>26</v>
      </c>
      <c r="AV7" s="85" t="s">
        <v>32</v>
      </c>
    </row>
    <row r="8" spans="1:48" ht="15.75" thickTop="1" x14ac:dyDescent="0.25">
      <c r="A8" s="8"/>
      <c r="B8" s="30"/>
      <c r="C8" s="30"/>
      <c r="D8" s="30"/>
      <c r="E8" s="30"/>
      <c r="F8" s="30"/>
      <c r="G8" s="30"/>
      <c r="H8" s="2"/>
      <c r="I8" s="106" t="s">
        <v>153</v>
      </c>
      <c r="J8" s="88"/>
      <c r="K8" s="2"/>
      <c r="L8" s="208"/>
      <c r="M8" s="208" t="s">
        <v>224</v>
      </c>
      <c r="N8" s="208"/>
      <c r="O8" s="208"/>
      <c r="P8" s="208"/>
      <c r="Q8" s="208"/>
      <c r="R8" s="208"/>
      <c r="S8" s="208"/>
      <c r="T8" s="208"/>
      <c r="U8" s="208"/>
      <c r="V8" s="208"/>
      <c r="W8" s="208"/>
      <c r="X8" s="210"/>
      <c r="Y8" s="210"/>
      <c r="Z8" s="210"/>
      <c r="AA8" s="210"/>
      <c r="AB8" s="210"/>
      <c r="AC8" s="210"/>
      <c r="AD8" s="210"/>
      <c r="AE8" s="210"/>
      <c r="AF8" s="210"/>
      <c r="AG8" s="210"/>
      <c r="AH8" s="210"/>
      <c r="AI8" s="210"/>
      <c r="AJ8" s="210"/>
      <c r="AK8" s="210"/>
      <c r="AL8" s="210"/>
      <c r="AM8" s="210"/>
      <c r="AR8" s="9">
        <v>600</v>
      </c>
      <c r="AS8" s="9">
        <v>24</v>
      </c>
      <c r="AU8" s="85">
        <v>600</v>
      </c>
      <c r="AV8" s="14">
        <v>0.06</v>
      </c>
    </row>
    <row r="9" spans="1:48" ht="15.75" thickBot="1" x14ac:dyDescent="0.3">
      <c r="A9" s="81"/>
      <c r="B9" s="30"/>
      <c r="C9" s="30"/>
      <c r="D9" s="30"/>
      <c r="E9" s="30"/>
      <c r="F9" s="30"/>
      <c r="G9" s="96" t="s">
        <v>89</v>
      </c>
      <c r="H9" s="2"/>
      <c r="I9" s="134" t="s">
        <v>237</v>
      </c>
      <c r="J9" s="2"/>
      <c r="K9" s="2"/>
      <c r="L9" s="208" t="s">
        <v>225</v>
      </c>
      <c r="M9" s="208"/>
      <c r="N9" s="208"/>
      <c r="O9" s="208"/>
      <c r="P9" s="208"/>
      <c r="Q9" s="208"/>
      <c r="R9" s="208"/>
      <c r="S9" s="208"/>
      <c r="T9" s="208"/>
      <c r="U9" s="208"/>
      <c r="V9" s="208"/>
      <c r="W9" s="208"/>
      <c r="X9" s="210"/>
      <c r="Y9" s="210"/>
      <c r="Z9" s="210"/>
      <c r="AA9" s="210"/>
      <c r="AB9" s="210"/>
      <c r="AC9" s="210"/>
      <c r="AD9" s="210"/>
      <c r="AE9" s="210"/>
      <c r="AF9" s="210"/>
      <c r="AG9" s="210"/>
      <c r="AH9" s="210"/>
      <c r="AI9" s="210"/>
      <c r="AJ9" s="210"/>
      <c r="AK9" s="210"/>
      <c r="AL9" s="210"/>
      <c r="AM9" s="210"/>
      <c r="AR9" s="9">
        <v>760</v>
      </c>
      <c r="AS9" s="9">
        <v>30</v>
      </c>
      <c r="AU9" s="85">
        <v>760</v>
      </c>
      <c r="AV9" s="14">
        <v>7.0000000000000007E-2</v>
      </c>
    </row>
    <row r="10" spans="1:48" ht="15.75" thickTop="1" x14ac:dyDescent="0.25">
      <c r="A10" s="82" t="s">
        <v>108</v>
      </c>
      <c r="B10" s="30"/>
      <c r="C10" s="38" t="s">
        <v>88</v>
      </c>
      <c r="D10" s="30"/>
      <c r="E10" s="76" t="s">
        <v>110</v>
      </c>
      <c r="F10" s="30"/>
      <c r="G10" s="142">
        <v>2013</v>
      </c>
      <c r="H10" s="2"/>
      <c r="I10" s="2"/>
      <c r="J10" s="2"/>
      <c r="K10" s="2"/>
      <c r="L10" s="208" t="s">
        <v>226</v>
      </c>
      <c r="M10" s="208"/>
      <c r="N10" s="208"/>
      <c r="O10" s="208"/>
      <c r="P10" s="208"/>
      <c r="Q10" s="208"/>
      <c r="R10" s="208"/>
      <c r="S10" s="208"/>
      <c r="T10" s="208"/>
      <c r="U10" s="208"/>
      <c r="V10" s="208"/>
      <c r="W10" s="208"/>
      <c r="X10" s="210"/>
      <c r="Y10" s="210"/>
      <c r="Z10" s="210"/>
      <c r="AA10" s="210"/>
      <c r="AB10" s="210"/>
      <c r="AC10" s="210"/>
      <c r="AD10" s="210"/>
      <c r="AE10" s="210"/>
      <c r="AF10" s="210"/>
      <c r="AG10" s="210"/>
      <c r="AH10" s="210"/>
      <c r="AI10" s="210"/>
      <c r="AJ10" s="210"/>
      <c r="AK10" s="210"/>
      <c r="AL10" s="210"/>
      <c r="AM10" s="210"/>
      <c r="AR10" s="9">
        <v>900</v>
      </c>
      <c r="AS10" s="9">
        <v>36</v>
      </c>
      <c r="AU10" s="85">
        <v>900</v>
      </c>
      <c r="AV10" s="14">
        <v>0.08</v>
      </c>
    </row>
    <row r="11" spans="1:48" ht="15.75" thickBot="1" x14ac:dyDescent="0.3">
      <c r="A11" s="8"/>
      <c r="B11" s="30"/>
      <c r="C11" s="9">
        <v>2</v>
      </c>
      <c r="D11" s="30"/>
      <c r="E11" s="77" t="s">
        <v>111</v>
      </c>
      <c r="F11" s="30"/>
      <c r="G11" s="30"/>
      <c r="H11" s="2"/>
      <c r="I11" s="2"/>
      <c r="J11" s="2"/>
      <c r="K11" s="2"/>
      <c r="L11" s="208" t="s">
        <v>227</v>
      </c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R11" s="9">
        <v>1060</v>
      </c>
      <c r="AS11" s="9">
        <v>42</v>
      </c>
      <c r="AU11" s="85">
        <v>1060</v>
      </c>
      <c r="AV11" s="14">
        <v>0.09</v>
      </c>
    </row>
    <row r="12" spans="1:48" ht="16.5" thickTop="1" thickBot="1" x14ac:dyDescent="0.3">
      <c r="A12" s="8"/>
      <c r="B12" s="1"/>
      <c r="C12" s="5"/>
      <c r="D12" s="5"/>
      <c r="E12" s="83" t="s">
        <v>109</v>
      </c>
      <c r="F12" s="2"/>
      <c r="G12" s="65" t="s">
        <v>119</v>
      </c>
      <c r="H12" s="177"/>
      <c r="I12" s="110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R12" s="9">
        <v>1220</v>
      </c>
      <c r="AS12" s="9">
        <v>48</v>
      </c>
      <c r="AU12" s="85">
        <v>1220</v>
      </c>
      <c r="AV12" s="14">
        <v>0.1</v>
      </c>
    </row>
    <row r="13" spans="1:48" ht="15.75" thickTop="1" x14ac:dyDescent="0.25">
      <c r="A13" s="1"/>
      <c r="B13" s="1"/>
      <c r="C13" s="1"/>
      <c r="D13" s="1"/>
      <c r="E13" s="1"/>
      <c r="F13" s="1"/>
      <c r="G13" s="89">
        <v>-50</v>
      </c>
      <c r="H13" s="1"/>
      <c r="I13" s="3"/>
      <c r="J13" s="1"/>
      <c r="K13" s="2"/>
      <c r="L13" s="208" t="s">
        <v>231</v>
      </c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  <c r="AH13" s="210"/>
      <c r="AI13" s="210"/>
      <c r="AJ13" s="210"/>
      <c r="AK13" s="210"/>
      <c r="AL13" s="210"/>
      <c r="AM13" s="210"/>
    </row>
    <row r="14" spans="1:48" x14ac:dyDescent="0.25">
      <c r="A14" s="8"/>
      <c r="B14" s="1"/>
      <c r="C14" s="41" t="s">
        <v>113</v>
      </c>
      <c r="D14" s="45"/>
      <c r="E14" s="46"/>
      <c r="F14" s="45"/>
      <c r="G14" s="167"/>
      <c r="H14" s="2"/>
      <c r="I14" s="3"/>
      <c r="J14" s="2"/>
      <c r="K14" s="2"/>
      <c r="L14" s="208"/>
      <c r="M14" s="208" t="s">
        <v>232</v>
      </c>
      <c r="N14" s="208"/>
      <c r="O14" s="208"/>
      <c r="P14" s="208"/>
      <c r="Q14" s="208"/>
      <c r="R14" s="208"/>
      <c r="S14" s="208"/>
      <c r="T14" s="208"/>
      <c r="U14" s="208"/>
      <c r="V14" s="208"/>
      <c r="W14" s="208"/>
      <c r="X14" s="210"/>
      <c r="Y14" s="210"/>
      <c r="Z14" s="210"/>
      <c r="AA14" s="210"/>
      <c r="AB14" s="210"/>
      <c r="AC14" s="210"/>
      <c r="AD14" s="210"/>
      <c r="AE14" s="210"/>
      <c r="AF14" s="210"/>
      <c r="AG14" s="210"/>
      <c r="AH14" s="210"/>
      <c r="AI14" s="210"/>
      <c r="AJ14" s="210"/>
      <c r="AK14" s="210"/>
      <c r="AL14" s="210"/>
      <c r="AM14" s="210"/>
    </row>
    <row r="15" spans="1:48" x14ac:dyDescent="0.25">
      <c r="A15" s="8"/>
      <c r="B15" s="1"/>
      <c r="C15" s="151" t="s">
        <v>178</v>
      </c>
      <c r="D15" s="45"/>
      <c r="E15" s="152"/>
      <c r="F15" s="167" t="s">
        <v>116</v>
      </c>
      <c r="G15" s="167"/>
      <c r="H15" s="2"/>
      <c r="I15" s="3"/>
      <c r="J15" s="2"/>
      <c r="K15" s="2"/>
      <c r="L15" s="208"/>
      <c r="M15" s="208"/>
      <c r="N15" s="208" t="s">
        <v>233</v>
      </c>
      <c r="O15" s="208"/>
      <c r="P15" s="208"/>
      <c r="Q15" s="208"/>
      <c r="R15" s="208"/>
      <c r="S15" s="208"/>
      <c r="T15" s="208"/>
      <c r="U15" s="208"/>
      <c r="V15" s="208"/>
      <c r="W15" s="208"/>
      <c r="X15" s="210"/>
      <c r="Y15" s="210"/>
      <c r="Z15" s="210"/>
      <c r="AA15" s="210"/>
      <c r="AB15" s="210"/>
      <c r="AC15" s="210"/>
      <c r="AD15" s="210"/>
      <c r="AE15" s="210"/>
      <c r="AF15" s="210"/>
      <c r="AG15" s="210"/>
      <c r="AH15" s="210"/>
      <c r="AI15" s="210"/>
      <c r="AJ15" s="210"/>
      <c r="AK15" s="210"/>
      <c r="AL15" s="210"/>
      <c r="AM15" s="210"/>
    </row>
    <row r="16" spans="1:48" x14ac:dyDescent="0.25">
      <c r="A16" s="8"/>
      <c r="B16" s="1"/>
      <c r="C16" s="59" t="s">
        <v>114</v>
      </c>
      <c r="D16" s="2"/>
      <c r="E16" s="5"/>
      <c r="F16" s="95" t="s">
        <v>115</v>
      </c>
      <c r="G16" s="167"/>
      <c r="H16" s="2"/>
      <c r="I16" s="3"/>
      <c r="J16" s="2"/>
      <c r="K16" s="2"/>
      <c r="L16" s="208"/>
      <c r="M16" s="208"/>
      <c r="N16" s="208" t="s">
        <v>234</v>
      </c>
      <c r="O16" s="208"/>
      <c r="P16" s="208"/>
      <c r="Q16" s="208"/>
      <c r="R16" s="208"/>
      <c r="S16" s="208"/>
      <c r="T16" s="208"/>
      <c r="U16" s="208"/>
      <c r="V16" s="208"/>
      <c r="W16" s="208"/>
      <c r="X16" s="210"/>
      <c r="Y16" s="210"/>
      <c r="Z16" s="210"/>
      <c r="AA16" s="210"/>
      <c r="AB16" s="210"/>
      <c r="AC16" s="210"/>
      <c r="AD16" s="210"/>
      <c r="AE16" s="210"/>
      <c r="AF16" s="210"/>
      <c r="AG16" s="210"/>
      <c r="AH16" s="210"/>
      <c r="AI16" s="210"/>
      <c r="AJ16" s="210"/>
      <c r="AK16" s="210"/>
      <c r="AL16" s="210"/>
      <c r="AM16" s="210"/>
    </row>
    <row r="17" spans="1:39" x14ac:dyDescent="0.25">
      <c r="A17" s="8"/>
      <c r="B17" s="1"/>
      <c r="C17" s="144">
        <v>0.02</v>
      </c>
      <c r="D17" s="2"/>
      <c r="E17" s="5"/>
      <c r="F17" s="176">
        <v>0.5</v>
      </c>
      <c r="G17" s="167"/>
      <c r="H17" s="2"/>
      <c r="I17" s="3"/>
      <c r="J17" s="2"/>
      <c r="K17" s="2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10"/>
      <c r="Y17" s="210"/>
      <c r="Z17" s="210"/>
      <c r="AA17" s="210"/>
      <c r="AB17" s="210"/>
      <c r="AC17" s="210"/>
      <c r="AD17" s="210"/>
      <c r="AE17" s="210"/>
      <c r="AF17" s="210"/>
      <c r="AG17" s="210"/>
      <c r="AH17" s="210"/>
      <c r="AI17" s="210"/>
      <c r="AJ17" s="210"/>
      <c r="AK17" s="210"/>
      <c r="AL17" s="210"/>
      <c r="AM17" s="210"/>
    </row>
    <row r="18" spans="1:39" x14ac:dyDescent="0.25">
      <c r="A18" s="8"/>
      <c r="B18" s="1"/>
      <c r="C18" s="5"/>
      <c r="D18" s="2"/>
      <c r="E18" s="5"/>
      <c r="F18" s="2"/>
      <c r="G18" s="95"/>
      <c r="H18" s="33"/>
      <c r="I18" s="162"/>
      <c r="J18" s="2"/>
      <c r="K18" s="2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  <c r="X18" s="210"/>
      <c r="Y18" s="210"/>
      <c r="Z18" s="210"/>
      <c r="AA18" s="210"/>
      <c r="AB18" s="210"/>
      <c r="AC18" s="210"/>
      <c r="AD18" s="210"/>
      <c r="AE18" s="210"/>
      <c r="AF18" s="210"/>
      <c r="AG18" s="210"/>
      <c r="AH18" s="210"/>
      <c r="AI18" s="210"/>
      <c r="AJ18" s="210"/>
      <c r="AK18" s="210"/>
      <c r="AL18" s="210"/>
      <c r="AM18" s="210"/>
    </row>
    <row r="19" spans="1:39" x14ac:dyDescent="0.25">
      <c r="A19" s="8"/>
      <c r="B19" s="1"/>
      <c r="C19" s="5"/>
      <c r="D19" s="2"/>
      <c r="E19" s="5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10"/>
      <c r="Y19" s="210"/>
      <c r="Z19" s="210"/>
      <c r="AA19" s="210"/>
      <c r="AB19" s="210"/>
      <c r="AC19" s="210"/>
      <c r="AD19" s="210"/>
      <c r="AE19" s="210"/>
      <c r="AF19" s="210"/>
      <c r="AG19" s="210"/>
      <c r="AH19" s="210"/>
      <c r="AI19" s="210"/>
      <c r="AJ19" s="210"/>
      <c r="AK19" s="210"/>
      <c r="AL19" s="210"/>
      <c r="AM19" s="210"/>
    </row>
    <row r="20" spans="1:39" x14ac:dyDescent="0.25">
      <c r="A20" s="8"/>
      <c r="B20" s="1"/>
      <c r="C20" s="5"/>
      <c r="D20" s="2"/>
      <c r="E20" s="5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10"/>
      <c r="Y20" s="210"/>
      <c r="Z20" s="210"/>
      <c r="AA20" s="210"/>
      <c r="AB20" s="210"/>
      <c r="AC20" s="210"/>
      <c r="AD20" s="210"/>
      <c r="AE20" s="210"/>
      <c r="AF20" s="210"/>
      <c r="AG20" s="210"/>
      <c r="AH20" s="210"/>
      <c r="AI20" s="210"/>
      <c r="AJ20" s="210"/>
      <c r="AK20" s="210"/>
      <c r="AL20" s="210"/>
      <c r="AM20" s="210"/>
    </row>
    <row r="21" spans="1:39" x14ac:dyDescent="0.25">
      <c r="A21" s="8"/>
      <c r="B21" s="1"/>
      <c r="C21" s="5"/>
      <c r="D21" s="2"/>
      <c r="E21" s="5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10"/>
      <c r="Y21" s="210"/>
      <c r="Z21" s="210"/>
      <c r="AA21" s="210"/>
      <c r="AB21" s="210"/>
      <c r="AC21" s="210"/>
      <c r="AD21" s="210"/>
      <c r="AE21" s="210"/>
      <c r="AF21" s="210"/>
      <c r="AG21" s="210"/>
      <c r="AH21" s="210"/>
      <c r="AI21" s="210"/>
      <c r="AJ21" s="210"/>
      <c r="AK21" s="210"/>
      <c r="AL21" s="210"/>
      <c r="AM21" s="210"/>
    </row>
    <row r="22" spans="1:39" x14ac:dyDescent="0.25">
      <c r="A22" s="8"/>
      <c r="B22" s="1"/>
      <c r="C22" s="5"/>
      <c r="D22" s="2"/>
      <c r="E22" s="5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10"/>
      <c r="Y22" s="210"/>
      <c r="Z22" s="210"/>
      <c r="AA22" s="210"/>
      <c r="AB22" s="210"/>
      <c r="AC22" s="210"/>
      <c r="AD22" s="210"/>
      <c r="AE22" s="210"/>
      <c r="AF22" s="210"/>
      <c r="AG22" s="210"/>
      <c r="AH22" s="210"/>
      <c r="AI22" s="210"/>
      <c r="AJ22" s="210"/>
      <c r="AK22" s="210"/>
      <c r="AL22" s="210"/>
      <c r="AM22" s="210"/>
    </row>
    <row r="23" spans="1:39" x14ac:dyDescent="0.25">
      <c r="A23" s="8"/>
      <c r="B23" s="1"/>
      <c r="C23" s="5"/>
      <c r="D23" s="2"/>
      <c r="E23" s="5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10"/>
      <c r="Y23" s="210"/>
      <c r="Z23" s="210"/>
      <c r="AA23" s="210"/>
      <c r="AB23" s="210"/>
      <c r="AC23" s="210"/>
      <c r="AD23" s="210"/>
      <c r="AE23" s="210"/>
      <c r="AF23" s="210"/>
      <c r="AG23" s="210"/>
      <c r="AH23" s="210"/>
      <c r="AI23" s="210"/>
      <c r="AJ23" s="210"/>
      <c r="AK23" s="210"/>
      <c r="AL23" s="210"/>
      <c r="AM23" s="210"/>
    </row>
    <row r="24" spans="1:39" x14ac:dyDescent="0.25">
      <c r="A24" s="8"/>
      <c r="B24" s="1"/>
      <c r="C24" s="5" t="s">
        <v>183</v>
      </c>
      <c r="D24" s="2"/>
      <c r="E24" s="5"/>
      <c r="F24" s="2"/>
      <c r="G24" s="2"/>
      <c r="H24" s="2"/>
      <c r="I24" s="65" t="s">
        <v>182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10"/>
      <c r="Y24" s="210"/>
      <c r="Z24" s="210"/>
      <c r="AA24" s="210"/>
      <c r="AB24" s="210"/>
      <c r="AC24" s="210"/>
      <c r="AD24" s="210"/>
      <c r="AE24" s="210"/>
      <c r="AF24" s="210"/>
      <c r="AG24" s="210"/>
      <c r="AH24" s="210"/>
      <c r="AI24" s="210"/>
      <c r="AJ24" s="210"/>
      <c r="AK24" s="210"/>
      <c r="AL24" s="210"/>
      <c r="AM24" s="210"/>
    </row>
    <row r="25" spans="1:39" x14ac:dyDescent="0.25">
      <c r="A25" s="8"/>
      <c r="B25" s="132" t="s">
        <v>160</v>
      </c>
      <c r="C25" s="5"/>
      <c r="D25" s="2"/>
      <c r="E25" s="5"/>
      <c r="F25" s="2"/>
      <c r="G25" s="2"/>
      <c r="H25" s="2"/>
      <c r="I25" s="89" t="s">
        <v>220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10"/>
      <c r="Y25" s="210"/>
      <c r="Z25" s="210"/>
      <c r="AA25" s="210"/>
      <c r="AB25" s="210"/>
      <c r="AC25" s="210"/>
      <c r="AD25" s="210"/>
      <c r="AE25" s="210"/>
      <c r="AF25" s="210"/>
      <c r="AG25" s="210"/>
      <c r="AH25" s="210"/>
      <c r="AI25" s="210"/>
      <c r="AJ25" s="210"/>
      <c r="AK25" s="210"/>
      <c r="AL25" s="210"/>
      <c r="AM25" s="210"/>
    </row>
    <row r="26" spans="1:39" x14ac:dyDescent="0.25">
      <c r="A26" s="161"/>
      <c r="B26" s="34"/>
      <c r="C26" s="35"/>
      <c r="D26" s="33"/>
      <c r="E26" s="35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2"/>
      <c r="S26" s="2"/>
      <c r="T26" s="2"/>
      <c r="U26" s="2"/>
      <c r="V26" s="2"/>
      <c r="W26" s="2"/>
      <c r="X26" s="210"/>
      <c r="Y26" s="210"/>
      <c r="Z26" s="210"/>
      <c r="AA26" s="210"/>
      <c r="AB26" s="210"/>
      <c r="AC26" s="210"/>
      <c r="AD26" s="210"/>
      <c r="AE26" s="210"/>
      <c r="AF26" s="210"/>
      <c r="AG26" s="210"/>
      <c r="AH26" s="210"/>
      <c r="AI26" s="210"/>
      <c r="AJ26" s="210"/>
      <c r="AK26" s="210"/>
      <c r="AL26" s="210"/>
      <c r="AM26" s="210"/>
    </row>
    <row r="27" spans="1:39" x14ac:dyDescent="0.25">
      <c r="X27" s="210"/>
      <c r="Y27" s="210"/>
      <c r="Z27" s="210"/>
      <c r="AA27" s="210"/>
      <c r="AB27" s="210"/>
      <c r="AC27" s="210"/>
      <c r="AD27" s="210"/>
      <c r="AE27" s="210"/>
      <c r="AF27" s="210"/>
      <c r="AG27" s="210"/>
      <c r="AH27" s="210"/>
      <c r="AI27" s="210"/>
      <c r="AJ27" s="210"/>
      <c r="AK27" s="210"/>
      <c r="AL27" s="210"/>
      <c r="AM27" s="210"/>
    </row>
    <row r="28" spans="1:39" x14ac:dyDescent="0.25">
      <c r="B28" s="213" t="s">
        <v>97</v>
      </c>
      <c r="C28" s="213"/>
      <c r="E28" t="s">
        <v>98</v>
      </c>
      <c r="X28" s="210"/>
      <c r="Y28" s="210"/>
      <c r="Z28" s="210"/>
      <c r="AA28" s="210"/>
      <c r="AB28" s="210"/>
      <c r="AC28" s="210"/>
      <c r="AD28" s="210"/>
      <c r="AE28" s="210"/>
      <c r="AF28" s="210"/>
      <c r="AG28" s="210"/>
      <c r="AH28" s="210"/>
      <c r="AI28" s="210"/>
      <c r="AJ28" s="210"/>
      <c r="AK28" s="210"/>
      <c r="AL28" s="210"/>
      <c r="AM28" s="210"/>
    </row>
    <row r="29" spans="1:39" x14ac:dyDescent="0.25">
      <c r="B29" s="10" t="s">
        <v>90</v>
      </c>
      <c r="C29" s="70">
        <v>960.27330043593611</v>
      </c>
      <c r="E29" t="s">
        <v>99</v>
      </c>
      <c r="X29" s="210"/>
      <c r="Y29" s="210"/>
      <c r="Z29" s="210"/>
      <c r="AA29" s="210"/>
      <c r="AB29" s="210"/>
      <c r="AC29" s="210"/>
      <c r="AD29" s="210"/>
      <c r="AE29" s="210"/>
      <c r="AF29" s="210"/>
      <c r="AG29" s="210"/>
      <c r="AH29" s="210"/>
      <c r="AI29" s="210"/>
      <c r="AJ29" s="210"/>
      <c r="AK29" s="210"/>
      <c r="AL29" s="210"/>
      <c r="AM29" s="210"/>
    </row>
    <row r="30" spans="1:39" x14ac:dyDescent="0.25">
      <c r="B30" s="9" t="s">
        <v>91</v>
      </c>
      <c r="C30" s="73">
        <v>-30159.955418048386</v>
      </c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</row>
    <row r="31" spans="1:39" x14ac:dyDescent="0.25">
      <c r="B31" s="71"/>
      <c r="C31" s="70"/>
      <c r="E31" t="s">
        <v>118</v>
      </c>
      <c r="X31" s="210"/>
      <c r="Y31" s="210"/>
      <c r="Z31" s="210"/>
      <c r="AA31" s="210"/>
      <c r="AB31" s="210"/>
      <c r="AC31" s="210"/>
      <c r="AD31" s="210"/>
      <c r="AE31" s="210"/>
      <c r="AF31" s="210"/>
      <c r="AG31" s="210"/>
      <c r="AH31" s="210"/>
      <c r="AI31" s="210"/>
      <c r="AJ31" s="210"/>
      <c r="AK31" s="210"/>
      <c r="AL31" s="210"/>
      <c r="AM31" s="210"/>
    </row>
    <row r="32" spans="1:39" x14ac:dyDescent="0.25">
      <c r="B32" s="9" t="s">
        <v>92</v>
      </c>
      <c r="C32" s="70">
        <v>981.87667672105215</v>
      </c>
      <c r="E32">
        <f>D4-0.01</f>
        <v>-1.01</v>
      </c>
      <c r="X32" s="210"/>
      <c r="Y32" s="210"/>
      <c r="Z32" s="210"/>
      <c r="AA32" s="210"/>
      <c r="AB32" s="210"/>
      <c r="AC32" s="210"/>
      <c r="AD32" s="210"/>
      <c r="AE32" s="210"/>
      <c r="AF32" s="210"/>
      <c r="AG32" s="210"/>
      <c r="AH32" s="210"/>
      <c r="AI32" s="210"/>
      <c r="AJ32" s="210"/>
      <c r="AK32" s="210"/>
      <c r="AL32" s="210"/>
      <c r="AM32" s="210"/>
    </row>
    <row r="33" spans="2:39" x14ac:dyDescent="0.25">
      <c r="B33" s="9" t="s">
        <v>93</v>
      </c>
      <c r="C33" s="74">
        <v>-30375.415407895482</v>
      </c>
      <c r="D33">
        <v>960.50616180225575</v>
      </c>
      <c r="E33" t="s">
        <v>100</v>
      </c>
      <c r="F33">
        <v>981.70203069631259</v>
      </c>
      <c r="X33" s="210"/>
      <c r="Y33" s="210"/>
      <c r="Z33" s="210"/>
      <c r="AA33" s="210"/>
      <c r="AB33" s="210"/>
      <c r="AC33" s="210"/>
      <c r="AD33" s="210"/>
      <c r="AE33" s="210"/>
      <c r="AF33" s="210"/>
      <c r="AG33" s="210"/>
      <c r="AH33" s="210"/>
      <c r="AI33" s="210"/>
      <c r="AJ33" s="210"/>
      <c r="AK33" s="210"/>
      <c r="AL33" s="210"/>
      <c r="AM33" s="210"/>
    </row>
    <row r="34" spans="2:39" x14ac:dyDescent="0.25">
      <c r="D34">
        <v>-20128.786128013988</v>
      </c>
      <c r="X34" s="210"/>
      <c r="Y34" s="210"/>
      <c r="Z34" s="210"/>
      <c r="AA34" s="210"/>
      <c r="AB34" s="210"/>
      <c r="AC34" s="210"/>
      <c r="AD34" s="210"/>
      <c r="AE34" s="210"/>
      <c r="AF34" s="210"/>
      <c r="AG34" s="210"/>
      <c r="AH34" s="210"/>
      <c r="AI34" s="210"/>
      <c r="AJ34" s="210"/>
      <c r="AK34" s="210"/>
      <c r="AL34" s="210"/>
      <c r="AM34" s="210"/>
    </row>
    <row r="35" spans="2:39" x14ac:dyDescent="0.25">
      <c r="E35" s="9"/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  <c r="AH35" s="210"/>
      <c r="AI35" s="210"/>
      <c r="AJ35" s="210"/>
      <c r="AK35" s="210"/>
      <c r="AL35" s="210"/>
      <c r="AM35" s="210"/>
    </row>
    <row r="36" spans="2:39" x14ac:dyDescent="0.25">
      <c r="B36" s="213" t="s">
        <v>94</v>
      </c>
      <c r="C36" s="213"/>
      <c r="D36">
        <v>971.08721545599292</v>
      </c>
      <c r="E36" s="9"/>
      <c r="X36" s="210"/>
      <c r="Y36" s="210"/>
      <c r="Z36" s="210"/>
      <c r="AA36" s="210"/>
      <c r="AB36" s="210"/>
      <c r="AC36" s="210"/>
      <c r="AD36" s="210"/>
      <c r="AE36" s="210"/>
      <c r="AF36" s="210"/>
      <c r="AG36" s="210"/>
      <c r="AH36" s="210"/>
      <c r="AI36" s="210"/>
      <c r="AJ36" s="210"/>
      <c r="AK36" s="210"/>
      <c r="AL36" s="210"/>
      <c r="AM36" s="210"/>
    </row>
    <row r="37" spans="2:39" x14ac:dyDescent="0.25">
      <c r="B37" s="10" t="s">
        <v>90</v>
      </c>
      <c r="C37" s="70">
        <v>971.08721545599292</v>
      </c>
      <c r="E37" s="9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</row>
    <row r="38" spans="2:39" x14ac:dyDescent="0.25">
      <c r="B38" s="9" t="s">
        <v>91</v>
      </c>
      <c r="C38" s="72">
        <v>-30161.571557198589</v>
      </c>
      <c r="E38" s="9"/>
      <c r="X38" s="210"/>
      <c r="Y38" s="210"/>
      <c r="Z38" s="210"/>
      <c r="AA38" s="210"/>
      <c r="AB38" s="210"/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</row>
    <row r="39" spans="2:39" x14ac:dyDescent="0.25">
      <c r="E39" s="9"/>
      <c r="X39" s="210"/>
      <c r="Y39" s="210"/>
      <c r="Z39" s="210"/>
      <c r="AA39" s="210"/>
      <c r="AB39" s="210"/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</row>
    <row r="40" spans="2:39" x14ac:dyDescent="0.25">
      <c r="E40" s="9"/>
      <c r="X40" s="210"/>
      <c r="Y40" s="210"/>
      <c r="Z40" s="210"/>
      <c r="AA40" s="210"/>
      <c r="AB40" s="210"/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</row>
    <row r="41" spans="2:39" x14ac:dyDescent="0.25">
      <c r="B41" s="213" t="s">
        <v>95</v>
      </c>
      <c r="C41" s="213"/>
      <c r="E41" s="9"/>
      <c r="X41" s="210"/>
      <c r="Y41" s="210"/>
      <c r="Z41" s="210"/>
      <c r="AA41" s="210"/>
      <c r="AB41" s="210"/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210"/>
    </row>
    <row r="42" spans="2:39" x14ac:dyDescent="0.25">
      <c r="B42" s="10" t="s">
        <v>90</v>
      </c>
      <c r="C42" s="70">
        <v>959.97330043593615</v>
      </c>
      <c r="E42" s="9"/>
      <c r="X42" s="210"/>
      <c r="Y42" s="210"/>
      <c r="Z42" s="210"/>
      <c r="AA42" s="210"/>
      <c r="AB42" s="210"/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</row>
    <row r="43" spans="2:39" x14ac:dyDescent="0.25">
      <c r="B43" s="9" t="s">
        <v>91</v>
      </c>
      <c r="C43" s="72">
        <v>-30161.460418048388</v>
      </c>
      <c r="E43" s="9"/>
      <c r="X43" s="210"/>
      <c r="Y43" s="210"/>
      <c r="Z43" s="210"/>
      <c r="AA43" s="210"/>
      <c r="AB43" s="210"/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</row>
    <row r="44" spans="2:39" x14ac:dyDescent="0.25">
      <c r="E44" s="9"/>
      <c r="X44" s="210"/>
      <c r="Y44" s="210"/>
      <c r="Z44" s="210"/>
      <c r="AA44" s="210"/>
      <c r="AB44" s="210"/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</row>
    <row r="45" spans="2:39" x14ac:dyDescent="0.25">
      <c r="B45" s="213" t="s">
        <v>96</v>
      </c>
      <c r="C45" s="213"/>
      <c r="E45" s="9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</row>
    <row r="46" spans="2:39" x14ac:dyDescent="0.25">
      <c r="B46" s="10" t="s">
        <v>90</v>
      </c>
      <c r="C46" s="70">
        <v>985.1766767210521</v>
      </c>
      <c r="E46" s="9"/>
      <c r="X46" s="210"/>
      <c r="Y46" s="210"/>
      <c r="Z46" s="210"/>
      <c r="AA46" s="210"/>
      <c r="AB46" s="210"/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</row>
    <row r="47" spans="2:39" x14ac:dyDescent="0.25">
      <c r="B47" s="9" t="s">
        <v>91</v>
      </c>
      <c r="C47" s="72">
        <v>-30161.71245181124</v>
      </c>
      <c r="E47" s="9"/>
      <c r="X47" s="210"/>
      <c r="Y47" s="210"/>
      <c r="Z47" s="210"/>
      <c r="AA47" s="210"/>
      <c r="AB47" s="210"/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</row>
    <row r="48" spans="2:39" x14ac:dyDescent="0.25">
      <c r="B48" s="213" t="s">
        <v>102</v>
      </c>
      <c r="C48" s="213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</row>
    <row r="49" spans="2:39" x14ac:dyDescent="0.25">
      <c r="B49" s="9" t="s">
        <v>103</v>
      </c>
      <c r="C49" s="9" t="s">
        <v>104</v>
      </c>
      <c r="X49" s="210"/>
      <c r="Y49" s="210"/>
      <c r="Z49" s="210"/>
      <c r="AA49" s="210"/>
      <c r="AB49" s="210"/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</row>
    <row r="50" spans="2:39" x14ac:dyDescent="0.25">
      <c r="B50" s="9">
        <v>971.08721545599292</v>
      </c>
      <c r="C50" s="9">
        <v>-30373.043073190169</v>
      </c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</row>
    <row r="51" spans="2:39" x14ac:dyDescent="0.25">
      <c r="I51" s="213" t="s">
        <v>235</v>
      </c>
      <c r="J51" s="213"/>
      <c r="X51" s="210"/>
      <c r="Y51" s="210"/>
      <c r="Z51" s="210"/>
      <c r="AA51" s="210"/>
      <c r="AB51" s="210"/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</row>
    <row r="52" spans="2:39" x14ac:dyDescent="0.25">
      <c r="B52" s="213" t="s">
        <v>105</v>
      </c>
      <c r="C52" s="213"/>
      <c r="H52" t="s">
        <v>36</v>
      </c>
      <c r="I52" s="211" t="s">
        <v>103</v>
      </c>
      <c r="J52" s="211" t="s">
        <v>104</v>
      </c>
      <c r="X52" s="210"/>
      <c r="Y52" s="210"/>
      <c r="Z52" s="210"/>
      <c r="AA52" s="210"/>
      <c r="AB52" s="210"/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</row>
    <row r="53" spans="2:39" x14ac:dyDescent="0.25">
      <c r="B53" s="9" t="s">
        <v>103</v>
      </c>
      <c r="C53" s="9" t="s">
        <v>104</v>
      </c>
      <c r="I53" s="9">
        <v>980.48054468002522</v>
      </c>
      <c r="J53" s="9">
        <v>-30374.885407895479</v>
      </c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</row>
    <row r="54" spans="2:39" x14ac:dyDescent="0.25">
      <c r="B54" s="9">
        <v>971.08721545599292</v>
      </c>
      <c r="C54" s="9">
        <v>-30372.702706236912</v>
      </c>
      <c r="H54" t="s">
        <v>236</v>
      </c>
      <c r="I54" s="9">
        <v>961.42013460959072</v>
      </c>
      <c r="J54" s="9">
        <v>-30375.042745502666</v>
      </c>
      <c r="X54" s="210"/>
      <c r="Y54" s="210"/>
      <c r="Z54" s="210"/>
      <c r="AA54" s="210"/>
      <c r="AB54" s="210"/>
      <c r="AC54" s="210"/>
      <c r="AD54" s="210"/>
      <c r="AE54" s="210"/>
      <c r="AF54" s="210"/>
      <c r="AG54" s="210"/>
      <c r="AH54" s="210"/>
      <c r="AI54" s="210"/>
      <c r="AJ54" s="210"/>
      <c r="AK54" s="210"/>
      <c r="AL54" s="210"/>
      <c r="AM54" s="210"/>
    </row>
    <row r="106" spans="2:2" x14ac:dyDescent="0.25">
      <c r="B106">
        <v>-1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A4DA0C6D-D584-455D-A4B7-603EE27383F6}" scale="113">
      <selection sqref="A1:J22"/>
      <pageMargins left="0.7" right="0.7" top="0.75" bottom="0.75" header="0.3" footer="0.3"/>
      <pageSetup orientation="portrait" r:id="rId1"/>
    </customSheetView>
  </customSheetViews>
  <mergeCells count="9">
    <mergeCell ref="AR6:AS6"/>
    <mergeCell ref="AU6:AV6"/>
    <mergeCell ref="B52:C52"/>
    <mergeCell ref="B28:C28"/>
    <mergeCell ref="B36:C36"/>
    <mergeCell ref="B45:C45"/>
    <mergeCell ref="B41:C41"/>
    <mergeCell ref="B48:C48"/>
    <mergeCell ref="I51:J51"/>
  </mergeCells>
  <dataValidations count="10">
    <dataValidation type="list" allowBlank="1" showInputMessage="1" showErrorMessage="1" sqref="B4">
      <formula1>"600,760,900,1060,1220"</formula1>
    </dataValidation>
    <dataValidation allowBlank="1" showInputMessage="1" showErrorMessage="1" sqref="D8:F11 G8:G9 G11"/>
    <dataValidation type="list" allowBlank="1" showInputMessage="1" showErrorMessage="1" sqref="C11">
      <formula1>"1.5,2"</formula1>
    </dataValidation>
    <dataValidation type="list" allowBlank="1" showInputMessage="1" showErrorMessage="1" sqref="G10">
      <formula1>"2013,2002,ACCRA,custom"</formula1>
    </dataValidation>
    <dataValidation type="list" allowBlank="1" showInputMessage="1" showErrorMessage="1" sqref="E12">
      <formula1>"Rural,Town"</formula1>
    </dataValidation>
    <dataValidation type="list" allowBlank="1" showInputMessage="1" showErrorMessage="1" sqref="F17">
      <formula1>"0.02,0.002,0.01,0.5"</formula1>
    </dataValidation>
    <dataValidation type="list" allowBlank="1" showInputMessage="1" showErrorMessage="1" sqref="J6">
      <formula1>"1,2,3"</formula1>
    </dataValidation>
    <dataValidation type="list" allowBlank="1" showInputMessage="1" showErrorMessage="1" sqref="D7 G7">
      <formula1>"C,I,A,B,MS_RW"</formula1>
    </dataValidation>
    <dataValidation type="list" allowBlank="1" showInputMessage="1" showErrorMessage="1" sqref="I25">
      <formula1>"culvert_xs,Excavation"</formula1>
    </dataValidation>
    <dataValidation type="list" allowBlank="1" showInputMessage="1" showErrorMessage="1" sqref="C17">
      <formula1>"0.02,0.002,0.001,0.0008,0.01,0.5"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o_to_Data">
                <anchor moveWithCells="1" sizeWithCells="1">
                  <from>
                    <xdr:col>7</xdr:col>
                    <xdr:colOff>38100</xdr:colOff>
                    <xdr:row>1</xdr:row>
                    <xdr:rowOff>19050</xdr:rowOff>
                  </from>
                  <to>
                    <xdr:col>9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draw_button">
                <anchor moveWithCells="1" sizeWithCells="1">
                  <from>
                    <xdr:col>4</xdr:col>
                    <xdr:colOff>85725</xdr:colOff>
                    <xdr:row>1</xdr:row>
                    <xdr:rowOff>9525</xdr:rowOff>
                  </from>
                  <to>
                    <xdr:col>5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7" name="Button 110">
              <controlPr defaultSize="0" print="0" autoFill="0" autoPict="0" macro="[0]!go_to_RW">
                <anchor moveWithCells="1" sizeWithCells="1">
                  <from>
                    <xdr:col>4</xdr:col>
                    <xdr:colOff>552450</xdr:colOff>
                    <xdr:row>19</xdr:row>
                    <xdr:rowOff>171450</xdr:rowOff>
                  </from>
                  <to>
                    <xdr:col>6</xdr:col>
                    <xdr:colOff>219075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8" name="Button 117">
              <controlPr defaultSize="0" print="0" autoFill="0" autoPict="0" macro="[0]!go_to_BC">
                <anchor moveWithCells="1" sizeWithCells="1">
                  <from>
                    <xdr:col>4</xdr:col>
                    <xdr:colOff>561975</xdr:colOff>
                    <xdr:row>22</xdr:row>
                    <xdr:rowOff>28575</xdr:rowOff>
                  </from>
                  <to>
                    <xdr:col>6</xdr:col>
                    <xdr:colOff>161925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9" name="Button 118">
              <controlPr defaultSize="0" print="0" autoFill="0" autoPict="0" macro="[0]!go_to_SC">
                <anchor moveWithCells="1" sizeWithCells="1">
                  <from>
                    <xdr:col>1</xdr:col>
                    <xdr:colOff>581025</xdr:colOff>
                    <xdr:row>19</xdr:row>
                    <xdr:rowOff>171450</xdr:rowOff>
                  </from>
                  <to>
                    <xdr:col>3</xdr:col>
                    <xdr:colOff>200025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" name="Button 137">
              <controlPr defaultSize="0" print="0" autoFill="0" autoPict="0" macro="[0]!Qty_active">
                <anchor moveWithCells="1" sizeWithCells="1">
                  <from>
                    <xdr:col>5</xdr:col>
                    <xdr:colOff>219075</xdr:colOff>
                    <xdr:row>3</xdr:row>
                    <xdr:rowOff>95250</xdr:rowOff>
                  </from>
                  <to>
                    <xdr:col>7</xdr:col>
                    <xdr:colOff>104775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1" name="Button 138">
              <controlPr defaultSize="0" print="0" autoFill="0" autoPict="0" macro="[0]!add">
                <anchor moveWithCells="1" sizeWithCells="1">
                  <from>
                    <xdr:col>7</xdr:col>
                    <xdr:colOff>95250</xdr:colOff>
                    <xdr:row>13</xdr:row>
                    <xdr:rowOff>85725</xdr:rowOff>
                  </from>
                  <to>
                    <xdr:col>8</xdr:col>
                    <xdr:colOff>685800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2" name="Button 139">
              <controlPr defaultSize="0" print="0" autoFill="0" autoPict="0" macro="[0]!up_button">
                <anchor moveWithCells="1" sizeWithCells="1">
                  <from>
                    <xdr:col>7</xdr:col>
                    <xdr:colOff>95250</xdr:colOff>
                    <xdr:row>14</xdr:row>
                    <xdr:rowOff>180975</xdr:rowOff>
                  </from>
                  <to>
                    <xdr:col>8</xdr:col>
                    <xdr:colOff>685800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" name="Button 140">
              <controlPr defaultSize="0" print="0" autoFill="0" autoPict="0" macro="[0]!down_button">
                <anchor moveWithCells="1" sizeWithCells="1">
                  <from>
                    <xdr:col>7</xdr:col>
                    <xdr:colOff>95250</xdr:colOff>
                    <xdr:row>16</xdr:row>
                    <xdr:rowOff>57150</xdr:rowOff>
                  </from>
                  <to>
                    <xdr:col>8</xdr:col>
                    <xdr:colOff>685800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" name="Button 141">
              <controlPr defaultSize="0" print="0" autoFill="0" autoPict="0" macro="[0]!_xludf.slope">
                <anchor moveWithCells="1" sizeWithCells="1">
                  <from>
                    <xdr:col>7</xdr:col>
                    <xdr:colOff>85725</xdr:colOff>
                    <xdr:row>11</xdr:row>
                    <xdr:rowOff>114300</xdr:rowOff>
                  </from>
                  <to>
                    <xdr:col>8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5" name="Button 145">
              <controlPr defaultSize="0" print="0" autoFill="0" autoPict="0" macro="[0]!go_to_MH">
                <anchor moveWithCells="1" sizeWithCells="1">
                  <from>
                    <xdr:col>3</xdr:col>
                    <xdr:colOff>381000</xdr:colOff>
                    <xdr:row>19</xdr:row>
                    <xdr:rowOff>171450</xdr:rowOff>
                  </from>
                  <to>
                    <xdr:col>4</xdr:col>
                    <xdr:colOff>342900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 tint="0.39997558519241921"/>
  </sheetPr>
  <dimension ref="A1:L74"/>
  <sheetViews>
    <sheetView tabSelected="1" zoomScale="85" zoomScaleNormal="85" workbookViewId="0">
      <selection activeCell="I6" sqref="I6"/>
    </sheetView>
  </sheetViews>
  <sheetFormatPr defaultRowHeight="15" x14ac:dyDescent="0.25"/>
  <cols>
    <col min="1" max="1" width="4.5703125" customWidth="1"/>
    <col min="2" max="3" width="10.28515625" customWidth="1"/>
    <col min="4" max="4" width="12.28515625" customWidth="1"/>
    <col min="5" max="5" width="11.28515625" customWidth="1"/>
    <col min="6" max="6" width="10.42578125" customWidth="1"/>
    <col min="7" max="7" width="12.140625" customWidth="1"/>
    <col min="8" max="9" width="12.140625" bestFit="1" customWidth="1"/>
    <col min="10" max="10" width="11" customWidth="1"/>
    <col min="11" max="11" width="8.7109375" customWidth="1"/>
    <col min="12" max="12" width="5.5703125" customWidth="1"/>
  </cols>
  <sheetData>
    <row r="1" spans="1:12" x14ac:dyDescent="0.25">
      <c r="A1" s="36" t="s">
        <v>166</v>
      </c>
      <c r="B1" s="32"/>
      <c r="C1" s="32"/>
      <c r="D1" s="121" t="s">
        <v>167</v>
      </c>
      <c r="E1" s="120" t="s">
        <v>168</v>
      </c>
      <c r="F1" s="32"/>
      <c r="G1" s="32"/>
      <c r="H1" s="32"/>
      <c r="I1" s="32"/>
      <c r="J1" s="32"/>
      <c r="K1" s="203"/>
      <c r="L1" s="203"/>
    </row>
    <row r="2" spans="1:12" x14ac:dyDescent="0.25">
      <c r="A2" s="6">
        <v>17</v>
      </c>
      <c r="B2" s="30" t="s">
        <v>160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x14ac:dyDescent="0.25">
      <c r="A3" s="4"/>
      <c r="B3" s="5" t="s">
        <v>65</v>
      </c>
      <c r="C3" s="5"/>
      <c r="D3" s="5"/>
      <c r="E3" s="5"/>
      <c r="F3" s="2"/>
      <c r="G3" s="136" t="s">
        <v>169</v>
      </c>
      <c r="H3" s="5"/>
      <c r="I3" s="5"/>
      <c r="J3" s="5"/>
      <c r="K3" s="5" t="s">
        <v>140</v>
      </c>
      <c r="L3" s="5"/>
    </row>
    <row r="4" spans="1:12" x14ac:dyDescent="0.25">
      <c r="A4" s="4"/>
      <c r="B4" s="5"/>
      <c r="C4" s="5"/>
      <c r="D4" s="42" t="s">
        <v>123</v>
      </c>
      <c r="E4" s="37" t="s">
        <v>29</v>
      </c>
      <c r="F4" s="135" t="s">
        <v>89</v>
      </c>
      <c r="G4" s="133" t="s">
        <v>156</v>
      </c>
      <c r="H4" s="110" t="s">
        <v>145</v>
      </c>
      <c r="I4" s="56" t="s">
        <v>144</v>
      </c>
      <c r="J4" s="56" t="s">
        <v>209</v>
      </c>
      <c r="K4" s="2" t="s">
        <v>141</v>
      </c>
      <c r="L4" s="2"/>
    </row>
    <row r="5" spans="1:12" x14ac:dyDescent="0.25">
      <c r="A5" s="132"/>
      <c r="B5" s="5"/>
      <c r="C5" s="5"/>
      <c r="D5" s="123">
        <v>1</v>
      </c>
      <c r="E5" s="122">
        <v>1</v>
      </c>
      <c r="F5" s="80" t="s">
        <v>142</v>
      </c>
      <c r="G5" s="138" t="s">
        <v>170</v>
      </c>
      <c r="H5" s="86" t="s">
        <v>143</v>
      </c>
      <c r="I5" s="86" t="s">
        <v>143</v>
      </c>
      <c r="J5" s="86" t="s">
        <v>207</v>
      </c>
      <c r="K5" s="65">
        <v>45</v>
      </c>
      <c r="L5" s="2"/>
    </row>
    <row r="6" spans="1:12" ht="15.75" thickBot="1" x14ac:dyDescent="0.3">
      <c r="A6" s="1"/>
      <c r="B6" s="35"/>
      <c r="C6" s="35"/>
      <c r="D6" s="111" t="s">
        <v>159</v>
      </c>
      <c r="E6" s="112"/>
      <c r="F6" s="5" t="str">
        <f>IF(E5=1,"One",IF(E5=2,"Two",IF(E5=3,"Three",IF(E5=4,"Four",""))))</f>
        <v>One</v>
      </c>
      <c r="G6" s="131">
        <v>0.25</v>
      </c>
      <c r="H6" s="178" t="s">
        <v>238</v>
      </c>
      <c r="I6" s="179" t="s">
        <v>239</v>
      </c>
      <c r="J6" s="64">
        <v>3</v>
      </c>
      <c r="K6" s="2"/>
      <c r="L6" s="2"/>
    </row>
    <row r="7" spans="1:12" ht="15.75" thickTop="1" x14ac:dyDescent="0.25">
      <c r="A7" s="1"/>
      <c r="B7" s="59" t="s">
        <v>63</v>
      </c>
      <c r="C7" s="5"/>
      <c r="D7" s="42" t="s">
        <v>157</v>
      </c>
      <c r="E7" s="42" t="s">
        <v>158</v>
      </c>
      <c r="F7" s="5"/>
      <c r="G7" s="5"/>
      <c r="H7" s="56" t="s">
        <v>148</v>
      </c>
      <c r="I7" s="105" t="s">
        <v>174</v>
      </c>
      <c r="J7" s="56" t="s">
        <v>223</v>
      </c>
      <c r="K7" s="2"/>
      <c r="L7" s="2"/>
    </row>
    <row r="8" spans="1:12" ht="15.75" thickBot="1" x14ac:dyDescent="0.3">
      <c r="A8" s="1"/>
      <c r="B8" s="150">
        <f>IF([1]mov!$E$21*-1&lt;0,0,ABS([1]mov!$E$21))</f>
        <v>0</v>
      </c>
      <c r="C8" s="5"/>
      <c r="D8" s="156">
        <v>1.5</v>
      </c>
      <c r="E8" s="156">
        <v>1.5</v>
      </c>
      <c r="F8" s="102"/>
      <c r="G8" s="102"/>
      <c r="H8" s="104" t="s">
        <v>149</v>
      </c>
      <c r="I8" s="103"/>
      <c r="J8" s="86" t="s">
        <v>207</v>
      </c>
      <c r="K8" s="2"/>
      <c r="L8" s="2"/>
    </row>
    <row r="9" spans="1:12" ht="15.75" thickTop="1" x14ac:dyDescent="0.25">
      <c r="A9" s="1"/>
      <c r="B9" s="1"/>
      <c r="C9" s="5"/>
      <c r="D9" s="2"/>
      <c r="E9" s="99" t="s">
        <v>64</v>
      </c>
      <c r="F9" s="100"/>
      <c r="G9" s="100"/>
      <c r="H9" s="100"/>
      <c r="I9" s="101"/>
      <c r="J9" s="64">
        <v>2</v>
      </c>
      <c r="K9" s="2"/>
      <c r="L9" s="2"/>
    </row>
    <row r="10" spans="1:12" ht="15" customHeight="1" x14ac:dyDescent="0.25">
      <c r="A10" s="1"/>
      <c r="B10" s="219" t="s">
        <v>38</v>
      </c>
      <c r="C10" s="219"/>
      <c r="D10" s="224" t="s">
        <v>162</v>
      </c>
      <c r="E10" s="220" t="s">
        <v>59</v>
      </c>
      <c r="F10" s="56"/>
      <c r="G10" s="222" t="s">
        <v>172</v>
      </c>
      <c r="H10" s="216" t="s">
        <v>61</v>
      </c>
      <c r="I10" s="218" t="s">
        <v>62</v>
      </c>
      <c r="J10" s="218" t="s">
        <v>6</v>
      </c>
      <c r="K10" s="2"/>
      <c r="L10" s="2"/>
    </row>
    <row r="11" spans="1:12" x14ac:dyDescent="0.25">
      <c r="A11" s="1"/>
      <c r="B11" s="44" t="s">
        <v>192</v>
      </c>
      <c r="C11" s="44" t="s">
        <v>191</v>
      </c>
      <c r="D11" s="225"/>
      <c r="E11" s="221"/>
      <c r="F11" s="58" t="s">
        <v>20</v>
      </c>
      <c r="G11" s="223"/>
      <c r="H11" s="217"/>
      <c r="I11" s="214"/>
      <c r="J11" s="214"/>
      <c r="K11" s="2"/>
      <c r="L11" s="2"/>
    </row>
    <row r="12" spans="1:12" x14ac:dyDescent="0.25">
      <c r="A12" s="1"/>
      <c r="B12" s="124">
        <v>0.2</v>
      </c>
      <c r="C12" s="124">
        <v>0.3</v>
      </c>
      <c r="D12" s="137">
        <f>IF(G5="yes",G6,'[2]SC_@Fill'!$G$21)</f>
        <v>0.20499999999999999</v>
      </c>
      <c r="E12" s="123">
        <v>1.3</v>
      </c>
      <c r="F12" s="59">
        <f>INDEX(C24:J24,,MATCH(E12,C20:J20,1))</f>
        <v>2.7120000000000002</v>
      </c>
      <c r="G12" s="139" t="s">
        <v>172</v>
      </c>
      <c r="H12" s="155">
        <v>1.7</v>
      </c>
      <c r="I12" s="57">
        <f>COS(K5*PI()/180)*(INDEX($C$21:$J$21,,MATCH(E12,$C$20:$J$20,1)))</f>
        <v>1.0606601717798214</v>
      </c>
      <c r="J12" s="63">
        <f>INDEX(C23:J23,,MATCH(E12,C20:J20,1))</f>
        <v>3.15</v>
      </c>
      <c r="K12" s="2"/>
      <c r="L12" s="2"/>
    </row>
    <row r="13" spans="1:12" x14ac:dyDescent="0.25">
      <c r="A13" s="1"/>
      <c r="B13" s="5"/>
      <c r="C13" s="5"/>
      <c r="D13" s="43"/>
      <c r="E13" s="60" t="s">
        <v>117</v>
      </c>
      <c r="F13" s="61"/>
      <c r="G13" s="61"/>
      <c r="H13" s="109"/>
      <c r="I13" s="62"/>
      <c r="J13" s="2"/>
      <c r="K13" s="2"/>
      <c r="L13" s="2"/>
    </row>
    <row r="14" spans="1:12" x14ac:dyDescent="0.25">
      <c r="A14" s="1"/>
      <c r="B14" s="91" t="s">
        <v>120</v>
      </c>
      <c r="C14" s="92"/>
      <c r="D14" s="145" t="s">
        <v>175</v>
      </c>
      <c r="E14" s="220" t="s">
        <v>59</v>
      </c>
      <c r="F14" s="56"/>
      <c r="G14" s="218" t="s">
        <v>60</v>
      </c>
      <c r="H14" s="222" t="s">
        <v>171</v>
      </c>
      <c r="I14" s="218" t="s">
        <v>62</v>
      </c>
      <c r="J14" s="218" t="s">
        <v>6</v>
      </c>
      <c r="K14" s="2"/>
      <c r="L14" s="2"/>
    </row>
    <row r="15" spans="1:12" x14ac:dyDescent="0.25">
      <c r="A15" s="1"/>
      <c r="B15" s="90" t="s">
        <v>121</v>
      </c>
      <c r="C15" s="90" t="s">
        <v>122</v>
      </c>
      <c r="D15" s="149">
        <v>0.3</v>
      </c>
      <c r="E15" s="221"/>
      <c r="F15" s="58" t="s">
        <v>20</v>
      </c>
      <c r="G15" s="214"/>
      <c r="H15" s="223"/>
      <c r="I15" s="214"/>
      <c r="J15" s="214"/>
      <c r="K15" s="2"/>
      <c r="L15" s="2"/>
    </row>
    <row r="16" spans="1:12" ht="16.5" customHeight="1" x14ac:dyDescent="0.25">
      <c r="A16" s="1"/>
      <c r="B16" s="42">
        <f>[1]mov!$A$22</f>
        <v>971.08721545599292</v>
      </c>
      <c r="C16" s="42">
        <f>[1]mov!$B$22</f>
        <v>-30159.561961695799</v>
      </c>
      <c r="D16" s="160">
        <f>INDEX(C22:J22,,MATCH(E12,C20:J20,1))</f>
        <v>2.5</v>
      </c>
      <c r="E16" s="7">
        <f>E12</f>
        <v>1.3</v>
      </c>
      <c r="F16" s="59">
        <f>INDEX(C26:J26,,MATCH(E16,C20:J20,1))</f>
        <v>2.7120000000000002</v>
      </c>
      <c r="G16" s="131">
        <v>0.2</v>
      </c>
      <c r="H16" s="139" t="s">
        <v>171</v>
      </c>
      <c r="I16" s="57">
        <f>COS(K5*PI()/180)*(INDEX($C$21:$J$21,,MATCH(E16,$C$20:$J$20,1)))</f>
        <v>1.0606601717798214</v>
      </c>
      <c r="J16" s="63">
        <f>INDEX(C25:J25,,MATCH(E16,C20:J20,1))</f>
        <v>3.15</v>
      </c>
      <c r="K16" s="2"/>
      <c r="L16" s="2"/>
    </row>
    <row r="17" spans="1:12" ht="16.5" customHeight="1" x14ac:dyDescent="0.25">
      <c r="A17" s="1"/>
      <c r="B17" s="5"/>
      <c r="C17" s="115"/>
      <c r="D17" s="159">
        <f>INDEX(C23:J23,,MATCH(E12,C20:J20,1))</f>
        <v>3.15</v>
      </c>
      <c r="E17" s="158">
        <f>INDEX(C25:J25,,MATCH(E12,C20:J20,1))</f>
        <v>3.15</v>
      </c>
      <c r="F17" s="157">
        <f>INDEX(C21:J21,,MATCH(E12,C20:J20,1))</f>
        <v>1.5</v>
      </c>
      <c r="G17" s="5"/>
      <c r="H17" s="5"/>
      <c r="I17" s="5"/>
      <c r="J17" s="2"/>
      <c r="K17" s="2"/>
      <c r="L17" s="2"/>
    </row>
    <row r="18" spans="1:12" x14ac:dyDescent="0.25">
      <c r="A18" s="1"/>
      <c r="B18" s="49" t="s">
        <v>42</v>
      </c>
      <c r="C18" s="50"/>
      <c r="D18" s="51"/>
      <c r="E18" s="50"/>
      <c r="F18" s="50"/>
      <c r="G18" s="50"/>
      <c r="H18" s="50"/>
      <c r="I18" s="52"/>
      <c r="J18" s="64"/>
      <c r="K18" s="2"/>
      <c r="L18" s="2"/>
    </row>
    <row r="19" spans="1:12" ht="17.25" x14ac:dyDescent="0.25">
      <c r="A19" s="1"/>
      <c r="B19" s="41" t="s">
        <v>161</v>
      </c>
      <c r="C19" s="45"/>
      <c r="D19" s="154">
        <v>1.5</v>
      </c>
      <c r="E19" s="45"/>
      <c r="F19" s="45"/>
      <c r="G19" s="45" t="s">
        <v>39</v>
      </c>
      <c r="H19" s="45"/>
      <c r="I19" s="45"/>
      <c r="J19" s="45"/>
      <c r="K19" s="2"/>
      <c r="L19" s="2"/>
    </row>
    <row r="20" spans="1:12" x14ac:dyDescent="0.25">
      <c r="A20" s="1"/>
      <c r="B20" s="107" t="s">
        <v>40</v>
      </c>
      <c r="C20" s="108">
        <v>1</v>
      </c>
      <c r="D20" s="108">
        <v>1.5</v>
      </c>
      <c r="E20" s="108">
        <v>2</v>
      </c>
      <c r="F20" s="108">
        <v>2.5</v>
      </c>
      <c r="G20" s="108">
        <v>3</v>
      </c>
      <c r="H20" s="108">
        <v>3.5</v>
      </c>
      <c r="I20" s="108">
        <v>4</v>
      </c>
      <c r="J20" s="108">
        <v>4.5</v>
      </c>
      <c r="K20" s="146" t="s">
        <v>170</v>
      </c>
      <c r="L20" s="204"/>
    </row>
    <row r="21" spans="1:12" x14ac:dyDescent="0.25">
      <c r="A21" s="1"/>
      <c r="B21" s="107" t="s">
        <v>41</v>
      </c>
      <c r="C21" s="108">
        <v>1.5</v>
      </c>
      <c r="D21" s="108">
        <v>1.9</v>
      </c>
      <c r="E21" s="108">
        <v>2.2999999999999998</v>
      </c>
      <c r="F21" s="108">
        <v>2.6</v>
      </c>
      <c r="G21" s="108">
        <v>3</v>
      </c>
      <c r="H21" s="108">
        <v>3.4</v>
      </c>
      <c r="I21" s="108">
        <v>3.8</v>
      </c>
      <c r="J21" s="108">
        <v>4.2</v>
      </c>
      <c r="K21" s="147" t="s">
        <v>176</v>
      </c>
      <c r="L21" s="204"/>
    </row>
    <row r="22" spans="1:12" x14ac:dyDescent="0.25">
      <c r="A22" s="227"/>
      <c r="B22" s="107" t="s">
        <v>34</v>
      </c>
      <c r="C22" s="108">
        <f>C20+$D$19</f>
        <v>2.5</v>
      </c>
      <c r="D22" s="108">
        <f t="shared" ref="D22:J22" si="0">D20+$D$19</f>
        <v>3</v>
      </c>
      <c r="E22" s="108">
        <f t="shared" si="0"/>
        <v>3.5</v>
      </c>
      <c r="F22" s="108">
        <f t="shared" si="0"/>
        <v>4</v>
      </c>
      <c r="G22" s="108">
        <f t="shared" si="0"/>
        <v>4.5</v>
      </c>
      <c r="H22" s="108">
        <f t="shared" si="0"/>
        <v>5</v>
      </c>
      <c r="I22" s="108">
        <f t="shared" si="0"/>
        <v>5.5</v>
      </c>
      <c r="J22" s="108">
        <f t="shared" si="0"/>
        <v>6</v>
      </c>
      <c r="K22" s="148" t="s">
        <v>177</v>
      </c>
      <c r="L22" s="204"/>
    </row>
    <row r="23" spans="1:12" x14ac:dyDescent="0.25">
      <c r="A23" s="227"/>
      <c r="B23" s="116" t="s">
        <v>151</v>
      </c>
      <c r="C23" s="117">
        <f t="shared" ref="C23:I23" si="1">IF($D$8=1.5,C73,C22+$D$12+0.15)</f>
        <v>3.15</v>
      </c>
      <c r="D23" s="117">
        <f t="shared" si="1"/>
        <v>3.65</v>
      </c>
      <c r="E23" s="117">
        <f t="shared" si="1"/>
        <v>4.1500000000000004</v>
      </c>
      <c r="F23" s="117">
        <f>IF($D$8=1.5,F73,F22+$D$12+0.15)</f>
        <v>4.6500000000000004</v>
      </c>
      <c r="G23" s="117">
        <f>IF($D$8=1.5,G73,G22+$D$12+0.15)</f>
        <v>5.15</v>
      </c>
      <c r="H23" s="117">
        <f>IF($D$8=1.5,H73,H22+$D$12+0.15)</f>
        <v>5.65</v>
      </c>
      <c r="I23" s="117">
        <f t="shared" si="1"/>
        <v>6.15</v>
      </c>
      <c r="J23" s="117">
        <f>IF($D$8=1.5,J73,J22+$D$12+0.15)</f>
        <v>6.65</v>
      </c>
      <c r="K23" s="118" t="s">
        <v>36</v>
      </c>
      <c r="L23" s="204"/>
    </row>
    <row r="24" spans="1:12" x14ac:dyDescent="0.25">
      <c r="A24" s="1"/>
      <c r="B24" s="116" t="s">
        <v>152</v>
      </c>
      <c r="C24" s="117">
        <f t="shared" ref="C24:J24" si="2">IF($D$8=1.5,C74,C23-(C21-0.57)*COS($K$5*PI()/180)/$D$8)</f>
        <v>2.7120000000000002</v>
      </c>
      <c r="D24" s="117">
        <f t="shared" si="2"/>
        <v>3.0230000000000001</v>
      </c>
      <c r="E24" s="117">
        <f t="shared" si="2"/>
        <v>3.3340000000000001</v>
      </c>
      <c r="F24" s="117">
        <f t="shared" si="2"/>
        <v>3.6930000000000001</v>
      </c>
      <c r="G24" s="117">
        <f t="shared" si="2"/>
        <v>4.0039999999999996</v>
      </c>
      <c r="H24" s="117">
        <f t="shared" si="2"/>
        <v>4.3159999999999998</v>
      </c>
      <c r="I24" s="117">
        <f t="shared" si="2"/>
        <v>4.6269999999999998</v>
      </c>
      <c r="J24" s="117">
        <f t="shared" si="2"/>
        <v>4.9390000000000001</v>
      </c>
      <c r="K24" s="130" t="s">
        <v>36</v>
      </c>
      <c r="L24" s="204"/>
    </row>
    <row r="25" spans="1:12" x14ac:dyDescent="0.25">
      <c r="A25" s="1"/>
      <c r="B25" s="113" t="s">
        <v>151</v>
      </c>
      <c r="C25" s="114">
        <f t="shared" ref="C25:J25" si="3">IF($E$8=1.5,C73,C22+$D$12+0.15)</f>
        <v>3.15</v>
      </c>
      <c r="D25" s="114">
        <f t="shared" si="3"/>
        <v>3.65</v>
      </c>
      <c r="E25" s="114">
        <f t="shared" si="3"/>
        <v>4.1500000000000004</v>
      </c>
      <c r="F25" s="114">
        <f t="shared" si="3"/>
        <v>4.6500000000000004</v>
      </c>
      <c r="G25" s="114">
        <f t="shared" si="3"/>
        <v>5.15</v>
      </c>
      <c r="H25" s="114">
        <f t="shared" si="3"/>
        <v>5.65</v>
      </c>
      <c r="I25" s="114">
        <f t="shared" si="3"/>
        <v>6.15</v>
      </c>
      <c r="J25" s="114">
        <f t="shared" si="3"/>
        <v>6.65</v>
      </c>
      <c r="K25" s="87" t="s">
        <v>164</v>
      </c>
      <c r="L25" s="2"/>
    </row>
    <row r="26" spans="1:12" x14ac:dyDescent="0.25">
      <c r="A26" s="1"/>
      <c r="B26" s="113" t="s">
        <v>152</v>
      </c>
      <c r="C26" s="114">
        <f t="shared" ref="C26:J26" si="4">IF($E$8=1.5,C74,C23-(C21-0.57)*COS($K$5*PI()/180)/$E$8)</f>
        <v>2.7120000000000002</v>
      </c>
      <c r="D26" s="114">
        <f t="shared" si="4"/>
        <v>3.0230000000000001</v>
      </c>
      <c r="E26" s="114">
        <f t="shared" si="4"/>
        <v>3.3340000000000001</v>
      </c>
      <c r="F26" s="114">
        <f t="shared" si="4"/>
        <v>3.6930000000000001</v>
      </c>
      <c r="G26" s="114">
        <f t="shared" si="4"/>
        <v>4.0039999999999996</v>
      </c>
      <c r="H26" s="114">
        <f t="shared" si="4"/>
        <v>4.3159999999999998</v>
      </c>
      <c r="I26" s="114">
        <f t="shared" si="4"/>
        <v>4.6269999999999998</v>
      </c>
      <c r="J26" s="114">
        <f t="shared" si="4"/>
        <v>4.9390000000000001</v>
      </c>
      <c r="K26" s="86" t="s">
        <v>164</v>
      </c>
      <c r="L26" s="2"/>
    </row>
    <row r="27" spans="1:12" x14ac:dyDescent="0.25">
      <c r="A27" s="1"/>
      <c r="B27" s="2"/>
      <c r="C27" s="127"/>
      <c r="D27" s="128" t="s">
        <v>154</v>
      </c>
      <c r="E27" s="128" t="s">
        <v>155</v>
      </c>
      <c r="F27" s="128" t="s">
        <v>163</v>
      </c>
      <c r="G27" s="125"/>
      <c r="H27" s="125"/>
      <c r="I27" s="2"/>
      <c r="J27" s="2"/>
      <c r="K27" s="2"/>
      <c r="L27" s="2"/>
    </row>
    <row r="28" spans="1:12" x14ac:dyDescent="0.25">
      <c r="A28" s="1"/>
      <c r="B28" s="2"/>
      <c r="C28" s="129"/>
      <c r="D28" s="129">
        <v>982.1766767210521</v>
      </c>
      <c r="E28" s="129">
        <v>-30161.682451811237</v>
      </c>
      <c r="F28" s="129">
        <v>-30163.182451811237</v>
      </c>
      <c r="G28" s="126"/>
      <c r="H28" s="125"/>
      <c r="I28" s="2"/>
      <c r="J28" s="2"/>
      <c r="K28" s="2" t="s">
        <v>137</v>
      </c>
      <c r="L28" s="2"/>
    </row>
    <row r="29" spans="1:12" x14ac:dyDescent="0.25">
      <c r="A29" s="1"/>
      <c r="B29" s="53" t="s">
        <v>44</v>
      </c>
      <c r="C29" s="54"/>
      <c r="D29" s="54"/>
      <c r="E29" s="54"/>
      <c r="F29" s="54"/>
      <c r="G29" s="54"/>
      <c r="H29" s="50"/>
      <c r="I29" s="50"/>
      <c r="J29" s="55"/>
      <c r="K29" s="2" t="s">
        <v>135</v>
      </c>
      <c r="L29" s="2"/>
    </row>
    <row r="30" spans="1:12" x14ac:dyDescent="0.25">
      <c r="A30" s="1"/>
      <c r="B30" s="228" t="s">
        <v>43</v>
      </c>
      <c r="C30" s="229" t="s">
        <v>45</v>
      </c>
      <c r="D30" s="214"/>
      <c r="E30" s="214" t="s">
        <v>48</v>
      </c>
      <c r="F30" s="214"/>
      <c r="G30" s="214" t="s">
        <v>47</v>
      </c>
      <c r="H30" s="214"/>
      <c r="I30" s="214" t="s">
        <v>46</v>
      </c>
      <c r="J30" s="214"/>
      <c r="K30" s="2" t="s">
        <v>135</v>
      </c>
      <c r="L30" s="2"/>
    </row>
    <row r="31" spans="1:12" ht="48" customHeight="1" x14ac:dyDescent="0.25">
      <c r="A31" s="1"/>
      <c r="B31" s="228"/>
      <c r="C31" s="40" t="s">
        <v>50</v>
      </c>
      <c r="D31" s="40" t="s">
        <v>51</v>
      </c>
      <c r="E31" s="40" t="s">
        <v>50</v>
      </c>
      <c r="F31" s="40" t="s">
        <v>51</v>
      </c>
      <c r="G31" s="40" t="s">
        <v>50</v>
      </c>
      <c r="H31" s="40" t="s">
        <v>51</v>
      </c>
      <c r="I31" s="40" t="s">
        <v>50</v>
      </c>
      <c r="J31" s="40" t="s">
        <v>51</v>
      </c>
      <c r="K31" s="2" t="s">
        <v>135</v>
      </c>
      <c r="L31" s="2"/>
    </row>
    <row r="32" spans="1:12" x14ac:dyDescent="0.25">
      <c r="A32" s="1"/>
      <c r="B32" s="48" t="s">
        <v>49</v>
      </c>
      <c r="C32" s="40">
        <v>2.5</v>
      </c>
      <c r="D32" s="40">
        <v>10</v>
      </c>
      <c r="E32" s="40">
        <v>2.5</v>
      </c>
      <c r="F32" s="40">
        <v>10</v>
      </c>
      <c r="G32" s="40">
        <v>2.5</v>
      </c>
      <c r="H32" s="40">
        <v>8</v>
      </c>
      <c r="I32" s="40">
        <v>2.5</v>
      </c>
      <c r="J32" s="40">
        <v>8</v>
      </c>
      <c r="K32" s="2"/>
      <c r="L32" s="2"/>
    </row>
    <row r="33" spans="1:12" x14ac:dyDescent="0.25">
      <c r="A33" s="1"/>
      <c r="B33" s="39"/>
      <c r="C33" s="39"/>
      <c r="D33" s="39"/>
      <c r="E33" s="39"/>
      <c r="F33" s="39"/>
      <c r="G33" s="39"/>
      <c r="H33" s="2"/>
      <c r="I33" s="2"/>
      <c r="J33" s="2"/>
      <c r="K33" s="2"/>
      <c r="L33" s="2"/>
    </row>
    <row r="34" spans="1:12" x14ac:dyDescent="0.25">
      <c r="A34" s="1"/>
      <c r="B34" s="53" t="s">
        <v>52</v>
      </c>
      <c r="C34" s="54"/>
      <c r="D34" s="54"/>
      <c r="E34" s="54"/>
      <c r="F34" s="54"/>
      <c r="G34" s="54"/>
      <c r="H34" s="50"/>
      <c r="I34" s="50"/>
      <c r="J34" s="55"/>
      <c r="K34" s="2" t="s">
        <v>136</v>
      </c>
      <c r="L34" s="2"/>
    </row>
    <row r="35" spans="1:12" x14ac:dyDescent="0.25">
      <c r="A35" s="1"/>
      <c r="B35" s="228" t="s">
        <v>43</v>
      </c>
      <c r="C35" s="229" t="s">
        <v>45</v>
      </c>
      <c r="D35" s="214"/>
      <c r="E35" s="214" t="s">
        <v>48</v>
      </c>
      <c r="F35" s="214"/>
      <c r="G35" s="214" t="s">
        <v>47</v>
      </c>
      <c r="H35" s="214"/>
      <c r="I35" s="214" t="s">
        <v>46</v>
      </c>
      <c r="J35" s="214"/>
      <c r="K35" s="39" t="s">
        <v>136</v>
      </c>
      <c r="L35" s="39"/>
    </row>
    <row r="36" spans="1:12" ht="44.25" customHeight="1" x14ac:dyDescent="0.25">
      <c r="A36" s="1"/>
      <c r="B36" s="228"/>
      <c r="C36" s="40" t="s">
        <v>53</v>
      </c>
      <c r="D36" s="40" t="s">
        <v>54</v>
      </c>
      <c r="E36" s="40" t="s">
        <v>53</v>
      </c>
      <c r="F36" s="40" t="s">
        <v>54</v>
      </c>
      <c r="G36" s="40" t="s">
        <v>53</v>
      </c>
      <c r="H36" s="40" t="s">
        <v>54</v>
      </c>
      <c r="I36" s="40" t="s">
        <v>53</v>
      </c>
      <c r="J36" s="40" t="s">
        <v>54</v>
      </c>
      <c r="K36" s="39" t="s">
        <v>136</v>
      </c>
      <c r="L36" s="39"/>
    </row>
    <row r="37" spans="1:12" x14ac:dyDescent="0.25">
      <c r="A37" s="1"/>
      <c r="B37" s="48" t="s">
        <v>56</v>
      </c>
      <c r="C37" s="40">
        <v>2.5</v>
      </c>
      <c r="D37" s="40">
        <v>10</v>
      </c>
      <c r="E37" s="40">
        <v>2.25</v>
      </c>
      <c r="F37" s="40">
        <v>8</v>
      </c>
      <c r="G37" s="40">
        <v>2.25</v>
      </c>
      <c r="H37" s="40">
        <v>8</v>
      </c>
      <c r="I37" s="40">
        <v>2</v>
      </c>
      <c r="J37" s="40">
        <v>8</v>
      </c>
      <c r="K37" s="39" t="s">
        <v>136</v>
      </c>
      <c r="L37" s="39"/>
    </row>
    <row r="38" spans="1:12" x14ac:dyDescent="0.25">
      <c r="A38" s="1"/>
      <c r="B38" s="48" t="s">
        <v>55</v>
      </c>
      <c r="C38" s="40">
        <v>2.5</v>
      </c>
      <c r="D38" s="40">
        <v>10</v>
      </c>
      <c r="E38" s="40">
        <v>2.25</v>
      </c>
      <c r="F38" s="40">
        <v>8</v>
      </c>
      <c r="G38" s="40">
        <v>2</v>
      </c>
      <c r="H38" s="40">
        <v>8</v>
      </c>
      <c r="I38" s="40">
        <v>2</v>
      </c>
      <c r="J38" s="40">
        <v>7</v>
      </c>
      <c r="K38" s="39" t="s">
        <v>136</v>
      </c>
      <c r="L38" s="39"/>
    </row>
    <row r="39" spans="1:12" x14ac:dyDescent="0.25">
      <c r="A39" s="1"/>
      <c r="B39" s="48" t="s">
        <v>57</v>
      </c>
      <c r="C39" s="40">
        <v>2.5</v>
      </c>
      <c r="D39" s="40">
        <v>10</v>
      </c>
      <c r="E39" s="40">
        <v>2</v>
      </c>
      <c r="F39" s="40">
        <v>8</v>
      </c>
      <c r="G39" s="40">
        <v>2</v>
      </c>
      <c r="H39" s="40">
        <v>8</v>
      </c>
      <c r="I39" s="40">
        <v>2</v>
      </c>
      <c r="J39" s="40">
        <v>6</v>
      </c>
      <c r="K39" s="39" t="s">
        <v>136</v>
      </c>
      <c r="L39" s="39"/>
    </row>
    <row r="40" spans="1:12" x14ac:dyDescent="0.25">
      <c r="A40" s="1"/>
      <c r="B40" s="48" t="s">
        <v>58</v>
      </c>
      <c r="C40" s="40">
        <v>2.5</v>
      </c>
      <c r="D40" s="40">
        <v>10</v>
      </c>
      <c r="E40" s="40">
        <v>2</v>
      </c>
      <c r="F40" s="40">
        <v>8</v>
      </c>
      <c r="G40" s="40">
        <v>2</v>
      </c>
      <c r="H40" s="40">
        <v>8</v>
      </c>
      <c r="I40" s="40">
        <v>2</v>
      </c>
      <c r="J40" s="40">
        <v>5</v>
      </c>
      <c r="K40" s="39"/>
      <c r="L40" s="39"/>
    </row>
    <row r="41" spans="1:12" x14ac:dyDescent="0.25">
      <c r="A41" s="1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</row>
    <row r="42" spans="1:12" x14ac:dyDescent="0.25">
      <c r="A42" s="1"/>
      <c r="B42" s="97"/>
      <c r="C42" s="98" t="s">
        <v>146</v>
      </c>
      <c r="D42" s="97"/>
      <c r="E42" s="97"/>
      <c r="F42" s="97"/>
      <c r="G42" s="97"/>
      <c r="H42" s="97"/>
      <c r="I42" s="97"/>
      <c r="J42" s="97"/>
      <c r="K42" s="97"/>
      <c r="L42" s="97"/>
    </row>
    <row r="43" spans="1:12" x14ac:dyDescent="0.25">
      <c r="A43" s="1"/>
      <c r="B43" s="97"/>
      <c r="C43" s="119" t="s">
        <v>147</v>
      </c>
      <c r="D43" s="97"/>
      <c r="E43" s="97"/>
      <c r="F43" s="97"/>
      <c r="G43" s="97"/>
      <c r="H43" s="97"/>
      <c r="I43" s="97"/>
      <c r="J43" s="97"/>
      <c r="K43" s="97"/>
      <c r="L43" s="97"/>
    </row>
    <row r="44" spans="1:12" x14ac:dyDescent="0.25">
      <c r="A44" s="1"/>
      <c r="B44" s="226" t="s">
        <v>150</v>
      </c>
      <c r="C44" s="226"/>
      <c r="D44" s="226"/>
      <c r="E44" s="226"/>
      <c r="F44" s="226"/>
      <c r="G44" s="226"/>
      <c r="H44" s="226"/>
      <c r="I44" s="226"/>
      <c r="J44" s="97"/>
      <c r="K44" s="97"/>
      <c r="L44" s="97"/>
    </row>
    <row r="45" spans="1:12" x14ac:dyDescent="0.25">
      <c r="A45" s="34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</row>
    <row r="67" spans="2:10" x14ac:dyDescent="0.25">
      <c r="G67">
        <v>45</v>
      </c>
      <c r="H67" t="s">
        <v>165</v>
      </c>
    </row>
    <row r="72" spans="2:10" x14ac:dyDescent="0.25">
      <c r="B72" s="215"/>
      <c r="C72" s="215"/>
      <c r="D72" s="215"/>
      <c r="E72" s="215"/>
      <c r="F72" s="215"/>
      <c r="G72" s="215"/>
      <c r="H72" s="215"/>
      <c r="I72" s="215"/>
      <c r="J72" s="215"/>
    </row>
    <row r="73" spans="2:10" x14ac:dyDescent="0.25">
      <c r="B73" s="113" t="s">
        <v>151</v>
      </c>
      <c r="C73" s="47">
        <v>3.15</v>
      </c>
      <c r="D73" s="47">
        <v>3.65</v>
      </c>
      <c r="E73" s="47">
        <v>4.1500000000000004</v>
      </c>
      <c r="F73" s="47">
        <v>4.6500000000000004</v>
      </c>
      <c r="G73" s="47">
        <v>5.15</v>
      </c>
      <c r="H73" s="47">
        <v>5.65</v>
      </c>
      <c r="I73" s="47">
        <v>6.15</v>
      </c>
      <c r="J73" s="47">
        <v>6.65</v>
      </c>
    </row>
    <row r="74" spans="2:10" x14ac:dyDescent="0.25">
      <c r="B74" s="113" t="s">
        <v>152</v>
      </c>
      <c r="C74" s="47">
        <v>2.7120000000000002</v>
      </c>
      <c r="D74" s="47">
        <v>3.0230000000000001</v>
      </c>
      <c r="E74" s="47">
        <v>3.3340000000000001</v>
      </c>
      <c r="F74" s="47">
        <v>3.6930000000000001</v>
      </c>
      <c r="G74" s="47">
        <v>4.0039999999999996</v>
      </c>
      <c r="H74" s="47">
        <v>4.3159999999999998</v>
      </c>
      <c r="I74" s="47">
        <v>4.6269999999999998</v>
      </c>
      <c r="J74" s="47">
        <v>4.9390000000000001</v>
      </c>
    </row>
  </sheetData>
  <sheetProtection formatCells="0" formatColumns="0" formatRows="0" insertColumns="0" insertRows="0" insertHyperlinks="0" deleteColumns="0" deleteRows="0" sort="0" autoFilter="0" pivotTables="0"/>
  <mergeCells count="25">
    <mergeCell ref="A22:A23"/>
    <mergeCell ref="G10:G11"/>
    <mergeCell ref="B35:B36"/>
    <mergeCell ref="C35:D35"/>
    <mergeCell ref="E35:F35"/>
    <mergeCell ref="B30:B31"/>
    <mergeCell ref="C30:D30"/>
    <mergeCell ref="E30:F30"/>
    <mergeCell ref="G35:H35"/>
    <mergeCell ref="I35:J35"/>
    <mergeCell ref="B72:J72"/>
    <mergeCell ref="H10:H11"/>
    <mergeCell ref="I10:I11"/>
    <mergeCell ref="B10:C10"/>
    <mergeCell ref="E14:E15"/>
    <mergeCell ref="G14:G15"/>
    <mergeCell ref="H14:H15"/>
    <mergeCell ref="I14:I15"/>
    <mergeCell ref="D10:D11"/>
    <mergeCell ref="B44:I44"/>
    <mergeCell ref="J10:J11"/>
    <mergeCell ref="J14:J15"/>
    <mergeCell ref="I30:J30"/>
    <mergeCell ref="E10:E11"/>
    <mergeCell ref="G30:H30"/>
  </mergeCells>
  <dataValidations count="12">
    <dataValidation type="list" allowBlank="1" showInputMessage="1" showErrorMessage="1" sqref="E5">
      <formula1>"1,2,3"</formula1>
    </dataValidation>
    <dataValidation type="list" allowBlank="1" showInputMessage="1" showErrorMessage="1" sqref="F5">
      <formula1>"2013,2002,ACCRA,custom"</formula1>
    </dataValidation>
    <dataValidation allowBlank="1" showInputMessage="1" showErrorMessage="1" sqref="F4"/>
    <dataValidation type="list" allowBlank="1" showInputMessage="1" showErrorMessage="1" sqref="H6:I6">
      <formula1>"Drop_Inlet,C,Guide_Wall"</formula1>
    </dataValidation>
    <dataValidation type="list" allowBlank="1" showInputMessage="1" showErrorMessage="1" sqref="I7">
      <formula1>"Grade,Fill"</formula1>
    </dataValidation>
    <dataValidation type="list" allowBlank="1" showInputMessage="1" showErrorMessage="1" sqref="G5">
      <formula1>"yes,no"</formula1>
    </dataValidation>
    <dataValidation type="decimal" allowBlank="1" showInputMessage="1" showErrorMessage="1" sqref="E8">
      <formula1>-10</formula1>
      <formula2>10</formula2>
    </dataValidation>
    <dataValidation type="decimal" allowBlank="1" showInputMessage="1" showErrorMessage="1" error="Enter an Integer" sqref="D8">
      <formula1>-10</formula1>
      <formula2>10</formula2>
    </dataValidation>
    <dataValidation type="decimal" operator="greaterThan" allowBlank="1" showInputMessage="1" showErrorMessage="1" error="Please Enter an Integer" sqref="B12:C12">
      <formula1>0</formula1>
    </dataValidation>
    <dataValidation type="decimal" operator="greaterThan" allowBlank="1" showInputMessage="1" showErrorMessage="1" error="Please Enter Integer_x000a_" sqref="E12">
      <formula1>0</formula1>
    </dataValidation>
    <dataValidation type="decimal" operator="greaterThan" allowBlank="1" showInputMessage="1" showErrorMessage="1" error="Please Enter Integer" sqref="G6">
      <formula1>0</formula1>
    </dataValidation>
    <dataValidation type="list" operator="greaterThan" allowBlank="1" showInputMessage="1" showErrorMessage="1" error="Please Enter Integer" sqref="H12">
      <formula1>"1.7,0.7"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Mathcad" shapeId="18456" r:id="rId4">
          <objectPr defaultSize="0" r:id="rId5">
            <anchor moveWithCells="1">
              <from>
                <xdr:col>0</xdr:col>
                <xdr:colOff>0</xdr:colOff>
                <xdr:row>45</xdr:row>
                <xdr:rowOff>9525</xdr:rowOff>
              </from>
              <to>
                <xdr:col>4</xdr:col>
                <xdr:colOff>647700</xdr:colOff>
                <xdr:row>51</xdr:row>
                <xdr:rowOff>76200</xdr:rowOff>
              </to>
            </anchor>
          </objectPr>
        </oleObject>
      </mc:Choice>
      <mc:Fallback>
        <oleObject progId="Mathcad" shapeId="1845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6" name="Button 2">
              <controlPr defaultSize="0" print="0" autoFill="0" autoPict="0" macro="[0]!SL_draw_button.SL_draw_button">
                <anchor moveWithCells="1" sizeWithCells="1">
                  <from>
                    <xdr:col>0</xdr:col>
                    <xdr:colOff>295275</xdr:colOff>
                    <xdr:row>3</xdr:row>
                    <xdr:rowOff>76200</xdr:rowOff>
                  </from>
                  <to>
                    <xdr:col>2</xdr:col>
                    <xdr:colOff>523875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7" name="Button 5">
              <controlPr defaultSize="0" print="0" autoFill="0" autoPict="0" macro="[0]!go_to_PP">
                <anchor moveWithCells="1" sizeWithCells="1">
                  <from>
                    <xdr:col>7</xdr:col>
                    <xdr:colOff>247650</xdr:colOff>
                    <xdr:row>1</xdr:row>
                    <xdr:rowOff>38100</xdr:rowOff>
                  </from>
                  <to>
                    <xdr:col>8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0.39997558519241921"/>
  </sheetPr>
  <dimension ref="A1:AE56"/>
  <sheetViews>
    <sheetView zoomScale="85" zoomScaleNormal="85" workbookViewId="0">
      <pane ySplit="4830" topLeftCell="A51"/>
      <selection activeCell="D5" sqref="D5"/>
      <selection pane="bottomLeft" activeCell="Q52" sqref="Q52"/>
    </sheetView>
  </sheetViews>
  <sheetFormatPr defaultRowHeight="15" x14ac:dyDescent="0.25"/>
  <cols>
    <col min="1" max="1" width="2.42578125" style="165" customWidth="1"/>
    <col min="2" max="2" width="12" style="165" customWidth="1"/>
    <col min="3" max="3" width="10.5703125" style="165" bestFit="1" customWidth="1"/>
    <col min="4" max="4" width="10.7109375" style="165" customWidth="1"/>
    <col min="5" max="6" width="9.140625" style="165"/>
    <col min="7" max="7" width="11.7109375" style="165" bestFit="1" customWidth="1"/>
    <col min="8" max="8" width="12.7109375" style="165" customWidth="1"/>
    <col min="9" max="9" width="10.42578125" style="165" customWidth="1"/>
    <col min="10" max="10" width="10.5703125" style="165" customWidth="1"/>
    <col min="11" max="11" width="10.140625" style="165" customWidth="1"/>
    <col min="12" max="12" width="10.42578125" style="165" customWidth="1"/>
    <col min="13" max="13" width="10" style="165" customWidth="1"/>
    <col min="14" max="14" width="12.7109375" style="165" bestFit="1" customWidth="1"/>
    <col min="15" max="15" width="12" style="165" customWidth="1"/>
    <col min="16" max="16" width="10" style="165" customWidth="1"/>
    <col min="17" max="17" width="12.28515625" style="165" customWidth="1"/>
    <col min="18" max="30" width="9.140625" style="165"/>
    <col min="31" max="31" width="6.42578125" style="165" customWidth="1"/>
    <col min="32" max="16384" width="9.140625" style="165"/>
  </cols>
  <sheetData>
    <row r="1" spans="1:31" x14ac:dyDescent="0.25">
      <c r="A1" s="163" t="s">
        <v>37</v>
      </c>
      <c r="B1" s="93"/>
      <c r="C1" s="93"/>
      <c r="D1" s="93"/>
      <c r="E1" s="93"/>
      <c r="F1" s="93"/>
      <c r="G1" s="93"/>
      <c r="H1" s="93"/>
      <c r="I1" s="93"/>
      <c r="J1" s="164"/>
      <c r="K1" s="163" t="s">
        <v>180</v>
      </c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164"/>
    </row>
    <row r="2" spans="1:31" x14ac:dyDescent="0.25">
      <c r="A2" s="166">
        <v>17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</row>
    <row r="3" spans="1:31" x14ac:dyDescent="0.25">
      <c r="A3" s="167"/>
      <c r="B3" s="2"/>
      <c r="C3" s="168" t="s">
        <v>139</v>
      </c>
      <c r="D3" s="93"/>
      <c r="E3" s="93"/>
      <c r="F3" s="93"/>
      <c r="G3" s="164"/>
      <c r="H3" s="110" t="s">
        <v>145</v>
      </c>
      <c r="I3" s="56" t="s">
        <v>144</v>
      </c>
      <c r="J3" s="56" t="s">
        <v>203</v>
      </c>
      <c r="K3" s="56" t="s">
        <v>206</v>
      </c>
      <c r="L3" s="56" t="s">
        <v>207</v>
      </c>
      <c r="M3" s="56" t="s">
        <v>209</v>
      </c>
      <c r="N3" s="56" t="s">
        <v>200</v>
      </c>
      <c r="O3" s="56" t="s">
        <v>216</v>
      </c>
      <c r="P3" s="56" t="s">
        <v>217</v>
      </c>
      <c r="Q3" s="56" t="s">
        <v>217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3"/>
    </row>
    <row r="4" spans="1:31" x14ac:dyDescent="0.25">
      <c r="A4" s="167"/>
      <c r="B4" s="2"/>
      <c r="C4" s="86" t="s">
        <v>128</v>
      </c>
      <c r="D4" s="86" t="s">
        <v>131</v>
      </c>
      <c r="E4" s="94" t="s">
        <v>29</v>
      </c>
      <c r="F4" s="195" t="s">
        <v>199</v>
      </c>
      <c r="G4" s="169" t="s">
        <v>210</v>
      </c>
      <c r="H4" s="86" t="s">
        <v>143</v>
      </c>
      <c r="I4" s="86" t="s">
        <v>143</v>
      </c>
      <c r="J4" s="86" t="s">
        <v>204</v>
      </c>
      <c r="K4" s="86" t="s">
        <v>205</v>
      </c>
      <c r="L4" s="86" t="s">
        <v>208</v>
      </c>
      <c r="M4" s="86" t="s">
        <v>207</v>
      </c>
      <c r="N4" s="86" t="s">
        <v>212</v>
      </c>
      <c r="O4" s="86" t="s">
        <v>215</v>
      </c>
      <c r="P4" s="86" t="s">
        <v>219</v>
      </c>
      <c r="Q4" s="86" t="s">
        <v>221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3"/>
    </row>
    <row r="5" spans="1:31" x14ac:dyDescent="0.25">
      <c r="A5" s="2"/>
      <c r="B5" s="2"/>
      <c r="C5" s="170" t="s">
        <v>134</v>
      </c>
      <c r="D5" s="189">
        <v>2</v>
      </c>
      <c r="E5" s="190">
        <v>1</v>
      </c>
      <c r="F5" s="195" t="s">
        <v>199</v>
      </c>
      <c r="G5" s="171" t="s">
        <v>142</v>
      </c>
      <c r="H5" s="194" t="s">
        <v>222</v>
      </c>
      <c r="I5" s="194" t="s">
        <v>222</v>
      </c>
      <c r="J5" s="64">
        <v>0.05</v>
      </c>
      <c r="K5" s="64">
        <v>0.5</v>
      </c>
      <c r="L5" s="64">
        <v>0.3</v>
      </c>
      <c r="M5" s="64">
        <v>3</v>
      </c>
      <c r="N5" s="64" t="s">
        <v>218</v>
      </c>
      <c r="O5" s="65" t="s">
        <v>35</v>
      </c>
      <c r="P5" s="189">
        <v>3.04</v>
      </c>
      <c r="Q5" s="189">
        <v>2.5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3"/>
    </row>
    <row r="6" spans="1:31" x14ac:dyDescent="0.25">
      <c r="A6" s="2"/>
      <c r="B6" s="2"/>
      <c r="C6" s="163" t="s">
        <v>125</v>
      </c>
      <c r="D6" s="93"/>
      <c r="E6" s="93"/>
      <c r="F6" s="93"/>
      <c r="G6" s="93"/>
      <c r="H6" s="93"/>
      <c r="I6" s="93"/>
      <c r="J6" s="93"/>
      <c r="K6" s="164"/>
      <c r="L6" s="168" t="s">
        <v>138</v>
      </c>
      <c r="M6" s="164"/>
      <c r="N6" s="172"/>
      <c r="O6" s="56" t="s">
        <v>201</v>
      </c>
      <c r="P6" s="56"/>
      <c r="Q6" s="110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3"/>
    </row>
    <row r="7" spans="1:31" x14ac:dyDescent="0.25">
      <c r="A7" s="2"/>
      <c r="B7" s="2"/>
      <c r="C7" s="86" t="s">
        <v>127</v>
      </c>
      <c r="D7" s="86" t="s">
        <v>185</v>
      </c>
      <c r="E7" s="86" t="s">
        <v>186</v>
      </c>
      <c r="F7" s="86" t="s">
        <v>189</v>
      </c>
      <c r="G7" s="86" t="s">
        <v>124</v>
      </c>
      <c r="H7" s="86" t="s">
        <v>190</v>
      </c>
      <c r="I7" s="86" t="s">
        <v>35</v>
      </c>
      <c r="J7" s="86" t="s">
        <v>187</v>
      </c>
      <c r="K7" s="86" t="s">
        <v>188</v>
      </c>
      <c r="L7" s="65" t="s">
        <v>129</v>
      </c>
      <c r="M7" s="65" t="s">
        <v>130</v>
      </c>
      <c r="N7" s="65" t="s">
        <v>132</v>
      </c>
      <c r="O7" s="86" t="s">
        <v>202</v>
      </c>
      <c r="P7" s="87"/>
      <c r="Q7" s="3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3"/>
    </row>
    <row r="8" spans="1:31" x14ac:dyDescent="0.25">
      <c r="A8" s="2"/>
      <c r="B8" s="2"/>
      <c r="C8" s="65">
        <f>SLB_CU!B8</f>
        <v>0</v>
      </c>
      <c r="D8" s="189">
        <v>0.2</v>
      </c>
      <c r="E8" s="189">
        <v>1</v>
      </c>
      <c r="F8" s="180">
        <f>INDEX($C$14:$C$21,MATCH(E8,$B$14:$B$21,0))</f>
        <v>0.35</v>
      </c>
      <c r="G8" s="189">
        <f>INDEX($D$14:$D$21,MATCH(E8,$B$14:$B$21,0))</f>
        <v>0.6</v>
      </c>
      <c r="H8" s="189">
        <f>2*D8+RIGHT(INDEX($E$14:$E$21,MATCH(E8,$B$14:$B$21,0)),4)</f>
        <v>2.12</v>
      </c>
      <c r="I8" s="189">
        <f>INDEX($F$14:$F$21,MATCH(E8,$B$14:$B$21,0))</f>
        <v>1.2</v>
      </c>
      <c r="J8" s="189">
        <f>INDEX($G$14:$G$21,MATCH(E8,$B$14:$B$21,0))</f>
        <v>1.7</v>
      </c>
      <c r="K8" s="189">
        <f>INDEX($H$14:$H$21,MATCH(E8,$B$14:$B$21,0))</f>
        <v>1.2</v>
      </c>
      <c r="L8" s="189">
        <v>0.15</v>
      </c>
      <c r="M8" s="189">
        <v>0.2</v>
      </c>
      <c r="N8" s="180">
        <f>ROUND(I8*COS(45*PI()/180),2)</f>
        <v>0.85</v>
      </c>
      <c r="O8" s="64">
        <v>0.3</v>
      </c>
      <c r="P8" s="86"/>
      <c r="Q8" s="16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3"/>
    </row>
    <row r="9" spans="1:31" x14ac:dyDescent="0.25">
      <c r="A9" s="2"/>
      <c r="B9" s="2"/>
      <c r="C9" s="2"/>
      <c r="D9" s="2" t="s">
        <v>126</v>
      </c>
      <c r="E9" s="2"/>
      <c r="F9" s="2"/>
      <c r="G9" s="2"/>
      <c r="H9" s="2"/>
      <c r="I9" s="196" t="s">
        <v>211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3"/>
    </row>
    <row r="10" spans="1:31" x14ac:dyDescent="0.25">
      <c r="A10" s="2"/>
      <c r="B10" s="2"/>
      <c r="C10" s="2"/>
      <c r="D10" s="2" t="s">
        <v>133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3"/>
    </row>
    <row r="11" spans="1:3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3"/>
    </row>
    <row r="12" spans="1:31" x14ac:dyDescent="0.25">
      <c r="A12" s="2"/>
      <c r="B12" s="91" t="s">
        <v>213</v>
      </c>
      <c r="C12" s="197"/>
      <c r="D12" s="197"/>
      <c r="E12" s="198" t="s">
        <v>214</v>
      </c>
      <c r="F12" s="199"/>
      <c r="G12" s="199"/>
      <c r="H12" s="20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3"/>
    </row>
    <row r="13" spans="1:31" x14ac:dyDescent="0.25">
      <c r="A13" s="2"/>
      <c r="B13" s="185" t="str">
        <f>'[2]BC_@Fill'!A5</f>
        <v>H</v>
      </c>
      <c r="C13" s="185" t="str">
        <f>'[2]BC_@Fill'!B5</f>
        <v>DT</v>
      </c>
      <c r="D13" s="185" t="str">
        <f>'[2]BC_@Fill'!C5</f>
        <v>D</v>
      </c>
      <c r="E13" s="201" t="str">
        <f>'[2]BC_@Fill'!D5</f>
        <v>HT</v>
      </c>
      <c r="F13" s="201" t="str">
        <f>'[2]BC_@Fill'!E5</f>
        <v>L</v>
      </c>
      <c r="G13" s="201" t="str">
        <f>'[2]BC_@Fill'!F5</f>
        <v>K1</v>
      </c>
      <c r="H13" s="202" t="str">
        <f>'[2]BC_@Fill'!G5</f>
        <v>K2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3"/>
    </row>
    <row r="14" spans="1:31" x14ac:dyDescent="0.25">
      <c r="A14" s="2"/>
      <c r="B14" s="181">
        <f>'[2]BC_@Fill'!A6</f>
        <v>1</v>
      </c>
      <c r="C14" s="181">
        <f>'[2]BC_@Fill'!B6</f>
        <v>0.35</v>
      </c>
      <c r="D14" s="181">
        <f>'[2]BC_@Fill'!C6</f>
        <v>0.6</v>
      </c>
      <c r="E14" s="181" t="str">
        <f>'[2]BC_@Fill'!D6</f>
        <v>2A+1.72</v>
      </c>
      <c r="F14" s="181">
        <f>'[2]BC_@Fill'!E6</f>
        <v>1.2</v>
      </c>
      <c r="G14" s="181">
        <f>'[2]BC_@Fill'!F6</f>
        <v>1.7</v>
      </c>
      <c r="H14" s="182">
        <f>'[2]BC_@Fill'!G6</f>
        <v>1.2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3"/>
    </row>
    <row r="15" spans="1:31" x14ac:dyDescent="0.25">
      <c r="A15" s="2"/>
      <c r="B15" s="181">
        <f>'[2]BC_@Fill'!A7</f>
        <v>1.5</v>
      </c>
      <c r="C15" s="181">
        <f>'[2]BC_@Fill'!B7</f>
        <v>0.35</v>
      </c>
      <c r="D15" s="181">
        <f>'[2]BC_@Fill'!C7</f>
        <v>0.9</v>
      </c>
      <c r="E15" s="181" t="str">
        <f>'[2]BC_@Fill'!D7</f>
        <v>2A+2.22</v>
      </c>
      <c r="F15" s="181">
        <f>'[2]BC_@Fill'!E7</f>
        <v>1.65</v>
      </c>
      <c r="G15" s="181">
        <f>'[2]BC_@Fill'!F7</f>
        <v>2.1</v>
      </c>
      <c r="H15" s="182">
        <f>'[2]BC_@Fill'!G7</f>
        <v>1.4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3"/>
    </row>
    <row r="16" spans="1:31" x14ac:dyDescent="0.25">
      <c r="A16" s="2"/>
      <c r="B16" s="181">
        <f>'[2]BC_@Fill'!A8</f>
        <v>2</v>
      </c>
      <c r="C16" s="181">
        <f>'[2]BC_@Fill'!B8</f>
        <v>0.35</v>
      </c>
      <c r="D16" s="181">
        <f>'[2]BC_@Fill'!C8</f>
        <v>1.1000000000000001</v>
      </c>
      <c r="E16" s="181" t="str">
        <f>'[2]BC_@Fill'!D8</f>
        <v>2A+2.72</v>
      </c>
      <c r="F16" s="181">
        <f>'[2]BC_@Fill'!E8</f>
        <v>1.95</v>
      </c>
      <c r="G16" s="181">
        <f>'[2]BC_@Fill'!F8</f>
        <v>2.5</v>
      </c>
      <c r="H16" s="182">
        <f>'[2]BC_@Fill'!G8</f>
        <v>1.6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3"/>
    </row>
    <row r="17" spans="1:31" x14ac:dyDescent="0.25">
      <c r="A17" s="2"/>
      <c r="B17" s="181">
        <f>'[2]BC_@Fill'!A9</f>
        <v>2.5</v>
      </c>
      <c r="C17" s="181">
        <f>'[2]BC_@Fill'!B9</f>
        <v>0.35</v>
      </c>
      <c r="D17" s="181">
        <f>'[2]BC_@Fill'!C9</f>
        <v>1.4</v>
      </c>
      <c r="E17" s="181" t="str">
        <f>'[2]BC_@Fill'!D9</f>
        <v>2A+3.22</v>
      </c>
      <c r="F17" s="181">
        <f>'[2]BC_@Fill'!E9</f>
        <v>2.4</v>
      </c>
      <c r="G17" s="181">
        <f>'[2]BC_@Fill'!F9</f>
        <v>2.9</v>
      </c>
      <c r="H17" s="182">
        <f>'[2]BC_@Fill'!G9</f>
        <v>1.8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3"/>
    </row>
    <row r="18" spans="1:31" x14ac:dyDescent="0.25">
      <c r="A18" s="2"/>
      <c r="B18" s="181">
        <f>'[2]BC_@Fill'!A10</f>
        <v>3</v>
      </c>
      <c r="C18" s="181">
        <f>'[2]BC_@Fill'!B10</f>
        <v>0.35</v>
      </c>
      <c r="D18" s="181">
        <f>'[2]BC_@Fill'!C10</f>
        <v>1.6</v>
      </c>
      <c r="E18" s="181" t="str">
        <f>'[2]BC_@Fill'!D10</f>
        <v>2A+3.72</v>
      </c>
      <c r="F18" s="181">
        <f>'[2]BC_@Fill'!E10</f>
        <v>2.7</v>
      </c>
      <c r="G18" s="181">
        <f>'[2]BC_@Fill'!F10</f>
        <v>3.3</v>
      </c>
      <c r="H18" s="182">
        <f>'[2]BC_@Fill'!G10</f>
        <v>2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3"/>
    </row>
    <row r="19" spans="1:31" x14ac:dyDescent="0.25">
      <c r="A19" s="2"/>
      <c r="B19" s="181">
        <f>'[2]BC_@Fill'!A11</f>
        <v>3.5</v>
      </c>
      <c r="C19" s="181">
        <f>'[2]BC_@Fill'!B11</f>
        <v>0.35</v>
      </c>
      <c r="D19" s="181">
        <f>'[2]BC_@Fill'!C11</f>
        <v>1.9</v>
      </c>
      <c r="E19" s="181" t="str">
        <f>'[2]BC_@Fill'!D11</f>
        <v>2A+4.22</v>
      </c>
      <c r="F19" s="181">
        <f>'[2]BC_@Fill'!E11</f>
        <v>3.15</v>
      </c>
      <c r="G19" s="181">
        <f>'[2]BC_@Fill'!F11</f>
        <v>3.7</v>
      </c>
      <c r="H19" s="182">
        <f>'[2]BC_@Fill'!G11</f>
        <v>2.2000000000000002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3"/>
    </row>
    <row r="20" spans="1:31" x14ac:dyDescent="0.25">
      <c r="A20" s="2"/>
      <c r="B20" s="181">
        <f>'[2]BC_@Fill'!A12</f>
        <v>4</v>
      </c>
      <c r="C20" s="181">
        <f>'[2]BC_@Fill'!B12</f>
        <v>0.35</v>
      </c>
      <c r="D20" s="181">
        <f>'[2]BC_@Fill'!C12</f>
        <v>2.1</v>
      </c>
      <c r="E20" s="181" t="str">
        <f>'[2]BC_@Fill'!D12</f>
        <v>2A+4.72</v>
      </c>
      <c r="F20" s="181">
        <f>'[2]BC_@Fill'!E12</f>
        <v>3.45</v>
      </c>
      <c r="G20" s="181">
        <f>'[2]BC_@Fill'!F12</f>
        <v>4.0999999999999996</v>
      </c>
      <c r="H20" s="182">
        <f>'[2]BC_@Fill'!G12</f>
        <v>2.4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3"/>
    </row>
    <row r="21" spans="1:31" x14ac:dyDescent="0.25">
      <c r="A21" s="2"/>
      <c r="B21" s="183">
        <f>'[2]BC_@Fill'!A13</f>
        <v>4.5</v>
      </c>
      <c r="C21" s="183">
        <f>'[2]BC_@Fill'!B13</f>
        <v>0.35</v>
      </c>
      <c r="D21" s="183">
        <f>'[2]BC_@Fill'!C13</f>
        <v>2.4</v>
      </c>
      <c r="E21" s="183" t="str">
        <f>'[2]BC_@Fill'!D13</f>
        <v>2A+5.22</v>
      </c>
      <c r="F21" s="183">
        <f>'[2]BC_@Fill'!E13</f>
        <v>3.9</v>
      </c>
      <c r="G21" s="183">
        <f>'[2]BC_@Fill'!F13</f>
        <v>4.5</v>
      </c>
      <c r="H21" s="184">
        <f>'[2]BC_@Fill'!G13</f>
        <v>2.6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3"/>
    </row>
    <row r="22" spans="1:3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3"/>
    </row>
    <row r="23" spans="1:31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162"/>
    </row>
    <row r="40" spans="8:9" x14ac:dyDescent="0.25">
      <c r="H40" s="186" t="s">
        <v>193</v>
      </c>
      <c r="I40" s="187"/>
    </row>
    <row r="41" spans="8:9" x14ac:dyDescent="0.25">
      <c r="H41" s="9" t="s">
        <v>121</v>
      </c>
      <c r="I41" s="9" t="s">
        <v>122</v>
      </c>
    </row>
    <row r="42" spans="8:9" x14ac:dyDescent="0.25">
      <c r="H42" s="9">
        <v>981.82541312720468</v>
      </c>
      <c r="I42" s="9">
        <v>-30160.989108985825</v>
      </c>
    </row>
    <row r="43" spans="8:9" x14ac:dyDescent="0.25">
      <c r="H43" s="186" t="s">
        <v>194</v>
      </c>
      <c r="I43" s="187"/>
    </row>
    <row r="44" spans="8:9" x14ac:dyDescent="0.25">
      <c r="H44" s="9" t="s">
        <v>121</v>
      </c>
      <c r="I44" s="9" t="s">
        <v>122</v>
      </c>
    </row>
    <row r="45" spans="8:9" x14ac:dyDescent="0.25">
      <c r="H45" s="188">
        <v>960.408318561069</v>
      </c>
      <c r="I45" s="188">
        <v>-30161.074777364091</v>
      </c>
    </row>
    <row r="46" spans="8:9" x14ac:dyDescent="0.25">
      <c r="H46" s="186" t="s">
        <v>195</v>
      </c>
      <c r="I46" s="187"/>
    </row>
    <row r="47" spans="8:9" x14ac:dyDescent="0.25">
      <c r="H47" s="9" t="s">
        <v>121</v>
      </c>
      <c r="I47" s="9" t="s">
        <v>122</v>
      </c>
    </row>
    <row r="48" spans="8:9" x14ac:dyDescent="0.25">
      <c r="H48" s="188">
        <v>971.08721545599292</v>
      </c>
      <c r="I48" s="188">
        <v>-30096.614507256283</v>
      </c>
    </row>
    <row r="49" spans="8:9" x14ac:dyDescent="0.25">
      <c r="H49" s="186" t="s">
        <v>196</v>
      </c>
      <c r="I49" s="187"/>
    </row>
    <row r="50" spans="8:9" x14ac:dyDescent="0.25">
      <c r="H50" s="9" t="s">
        <v>121</v>
      </c>
      <c r="I50" s="9" t="s">
        <v>122</v>
      </c>
    </row>
    <row r="51" spans="8:9" x14ac:dyDescent="0.25">
      <c r="H51" s="188">
        <f>[1]mov!$A$22</f>
        <v>971.08721545599292</v>
      </c>
      <c r="I51" s="188">
        <f>[1]mov!$B$22</f>
        <v>-30159.561961695799</v>
      </c>
    </row>
    <row r="52" spans="8:9" x14ac:dyDescent="0.25">
      <c r="H52" s="191" t="s">
        <v>197</v>
      </c>
      <c r="I52" s="192"/>
    </row>
    <row r="53" spans="8:9" x14ac:dyDescent="0.25">
      <c r="H53" s="188" t="s">
        <v>121</v>
      </c>
      <c r="I53" s="188" t="s">
        <v>122</v>
      </c>
    </row>
    <row r="54" spans="8:9" x14ac:dyDescent="0.25">
      <c r="H54" s="188">
        <v>960.408318561069</v>
      </c>
      <c r="I54" s="193">
        <v>-30161.074777364091</v>
      </c>
    </row>
    <row r="55" spans="8:9" x14ac:dyDescent="0.25">
      <c r="H55" s="186" t="s">
        <v>198</v>
      </c>
      <c r="I55" s="187"/>
    </row>
    <row r="56" spans="8:9" x14ac:dyDescent="0.25">
      <c r="H56">
        <f>[1]mov!$H$55</f>
        <v>0</v>
      </c>
      <c r="I56"/>
    </row>
  </sheetData>
  <sheetProtection formatCells="0" formatColumns="0" formatRows="0" insertColumns="0" insertRows="0" insertHyperlinks="0" deleteColumns="0" deleteRows="0" sort="0" autoFilter="0" pivotTables="0"/>
  <dataValidations count="7">
    <dataValidation type="list" allowBlank="1" showInputMessage="1" showErrorMessage="1" sqref="C5">
      <formula1>"Grade,Fill"</formula1>
    </dataValidation>
    <dataValidation type="list" allowBlank="1" showInputMessage="1" showErrorMessage="1" sqref="E5">
      <formula1>"1,2,3"</formula1>
    </dataValidation>
    <dataValidation type="list" allowBlank="1" showInputMessage="1" showErrorMessage="1" sqref="H5:I5">
      <formula1>"RCW,MWW,DropInlet"</formula1>
    </dataValidation>
    <dataValidation allowBlank="1" showInputMessage="1" showErrorMessage="1" sqref="G4"/>
    <dataValidation type="list" allowBlank="1" showInputMessage="1" showErrorMessage="1" sqref="G5">
      <formula1>"2013,2002,ACCRA,Project"</formula1>
    </dataValidation>
    <dataValidation type="list" allowBlank="1" showInputMessage="1" showErrorMessage="1" sqref="M8">
      <formula1>"0.2,0.4"</formula1>
    </dataValidation>
    <dataValidation type="list" allowBlank="1" showInputMessage="1" showErrorMessage="1" sqref="N5">
      <formula1>"L-shape,T-shape"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BX_draw_button.bx_draw_button">
                <anchor moveWithCells="1" sizeWithCells="1">
                  <from>
                    <xdr:col>0</xdr:col>
                    <xdr:colOff>104775</xdr:colOff>
                    <xdr:row>4</xdr:row>
                    <xdr:rowOff>47625</xdr:rowOff>
                  </from>
                  <to>
                    <xdr:col>1</xdr:col>
                    <xdr:colOff>742950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go_to_PP">
                <anchor moveWithCells="1" sizeWithCells="1">
                  <from>
                    <xdr:col>0</xdr:col>
                    <xdr:colOff>104775</xdr:colOff>
                    <xdr:row>1</xdr:row>
                    <xdr:rowOff>133350</xdr:rowOff>
                  </from>
                  <to>
                    <xdr:col>1</xdr:col>
                    <xdr:colOff>742950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S96"/>
  <sheetViews>
    <sheetView zoomScale="85" zoomScaleNormal="85" workbookViewId="0">
      <selection activeCell="I16" sqref="I16"/>
    </sheetView>
  </sheetViews>
  <sheetFormatPr defaultRowHeight="15" x14ac:dyDescent="0.25"/>
  <cols>
    <col min="4" max="4" width="8.5703125" bestFit="1" customWidth="1"/>
    <col min="5" max="5" width="8.7109375" customWidth="1"/>
    <col min="10" max="10" width="6.5703125" customWidth="1"/>
    <col min="11" max="11" width="7.140625" customWidth="1"/>
    <col min="13" max="13" width="7.7109375" customWidth="1"/>
  </cols>
  <sheetData>
    <row r="1" spans="1:19" x14ac:dyDescent="0.25">
      <c r="H1">
        <f>COLUMNS($B1:H$7)+1</f>
        <v>8</v>
      </c>
      <c r="P1" s="66"/>
    </row>
    <row r="2" spans="1:19" x14ac:dyDescent="0.25">
      <c r="C2" s="21" t="s">
        <v>26</v>
      </c>
      <c r="D2" s="21" t="s">
        <v>28</v>
      </c>
      <c r="E2" s="21" t="s">
        <v>27</v>
      </c>
      <c r="F2" s="21" t="s">
        <v>29</v>
      </c>
      <c r="P2" s="66"/>
    </row>
    <row r="3" spans="1:19" x14ac:dyDescent="0.25">
      <c r="C3" s="23">
        <f>main!B4</f>
        <v>1220</v>
      </c>
      <c r="D3" s="24" t="str">
        <f>main!D7</f>
        <v>C</v>
      </c>
      <c r="E3" s="24" t="str">
        <f>main!G7</f>
        <v>C</v>
      </c>
      <c r="F3" s="25">
        <f>main!J6</f>
        <v>1</v>
      </c>
      <c r="P3" s="66"/>
    </row>
    <row r="4" spans="1:19" x14ac:dyDescent="0.25">
      <c r="A4" t="s">
        <v>101</v>
      </c>
      <c r="B4" s="22" t="s">
        <v>28</v>
      </c>
      <c r="C4" s="9" t="s">
        <v>7</v>
      </c>
      <c r="D4" s="9">
        <v>0.5</v>
      </c>
      <c r="E4" s="9" t="s">
        <v>7</v>
      </c>
      <c r="F4" s="9" t="s">
        <v>7</v>
      </c>
      <c r="G4" s="9" t="s">
        <v>7</v>
      </c>
      <c r="H4" s="9" t="s">
        <v>7</v>
      </c>
      <c r="I4" s="9" t="s">
        <v>7</v>
      </c>
      <c r="J4" s="9" t="s">
        <v>7</v>
      </c>
      <c r="K4" s="9" t="s">
        <v>7</v>
      </c>
      <c r="L4" s="9" t="s">
        <v>7</v>
      </c>
      <c r="M4" s="9" t="s">
        <v>7</v>
      </c>
      <c r="N4" s="9" t="s">
        <v>7</v>
      </c>
      <c r="O4" s="9" t="s">
        <v>7</v>
      </c>
      <c r="P4" s="66"/>
    </row>
    <row r="5" spans="1:19" x14ac:dyDescent="0.25">
      <c r="B5" s="26" t="str">
        <f>IFERROR(IF($D$3="C",INDEX(c_title,1,COLUMNS($B$7:B7)),IF($D$3="A",INDEX(a_title,1,COLUMNS($B$7:B7)),IF($D$3="B",INDEX(b_title,1,COLUMNS($B$7:B7)),IF($D$3="I",INDEX(ai_title,1,COLUMNS($B$7:B7)))))),"")</f>
        <v>Di</v>
      </c>
      <c r="C5" s="27" t="str">
        <f>IFERROR(IF($D$3="C",INDEX(c_title,1,COLUMNS($B$7:C7)),IF($D$3="A",INDEX(a_title,1,COLUMNS($B$7:C7)),IF($D$3="B",INDEX(b_title,1,COLUMNS($B$7:C7)),IF($D$3="I",INDEX(ai_title,1,COLUMNS($B$7:C7)))))),"")</f>
        <v>t</v>
      </c>
      <c r="D5" s="27" t="str">
        <f>IFERROR(IF($D$3="C",INDEX(c_title,1,COLUMNS($B$7:D7)),IF($D$3="A",INDEX(a_title,1,COLUMNS($B$7:D7)),IF($D$3="B",INDEX(b_title,1,COLUMNS($B$7:D7)),IF($D$3="I",INDEX(ai_title,1,COLUMNS($B$7:D7)))))),"")</f>
        <v>Do</v>
      </c>
      <c r="E5" s="27" t="str">
        <f>IFERROR(IF($D$3="C",INDEX(c_title,1,COLUMNS($B$7:E7)),IF($D$3="A",INDEX(a_title,1,COLUMNS($B$7:E7)),IF($D$3="B",INDEX(b_title,1,COLUMNS($B$7:E7)),IF($D$3="I",INDEX(ai_title,1,COLUMNS($B$7:E7)))))),"")</f>
        <v>L1</v>
      </c>
      <c r="F5" s="27" t="str">
        <f>IFERROR(IF($D$3="C",INDEX(c_title,1,COLUMNS($B$7:F7)),IF($D$3="A",INDEX(a_title,1,COLUMNS($B$7:F7)),IF($D$3="B",INDEX(b_title,1,COLUMNS($B$7:F7)),IF($D$3="I",INDEX(ai_title,1,COLUMNS($B$7:F7)))))),"")</f>
        <v>L2</v>
      </c>
      <c r="G5" s="27" t="str">
        <f>IFERROR(IF($D$3="C",INDEX(c_title,1,COLUMNS($B$7:G7)),IF($D$3="A",INDEX(a_title,1,COLUMNS($B$7:G7)),IF($D$3="B",INDEX(b_title,1,COLUMNS($B$7:G7)),IF($D$3="I",INDEX(ai_title,1,COLUMNS($B$7:G7)))))),"")</f>
        <v>L3</v>
      </c>
      <c r="H5" s="27" t="str">
        <f>IFERROR(IF($D$3="C",INDEX(c_title,1,COLUMNS($B$7:H7)),IF($D$3="A",INDEX(a_title,1,COLUMNS($B$7:H7)),IF($D$3="B",INDEX(b_title,1,COLUMNS($B$7:H7)),IF($D$3="I",INDEX(ai_title,1,COLUMNS($B$7:H7)))))),"")</f>
        <v>W1</v>
      </c>
      <c r="I5" s="27" t="str">
        <f>IFERROR(IF($D$3="C",INDEX(c_title,1,COLUMNS($B$7:I7)),IF($D$3="A",INDEX(a_title,1,COLUMNS($B$7:I7)),IF($D$3="B",INDEX(b_title,1,COLUMNS($B$7:I7)),IF($D$3="I",INDEX(ai_title,1,COLUMNS($B$7:I7)))))),"")</f>
        <v>H1</v>
      </c>
      <c r="J5" s="27" t="str">
        <f>IFERROR(IF($D$3="C",INDEX(c_title,1,COLUMNS($B$7:J7)),IF($D$3="A",INDEX(a_title,1,COLUMNS($B$7:J7)),IF($D$3="B",INDEX(b_title,1,COLUMNS($B$7:J7)),IF($D$3="I",INDEX(ai_title,1,COLUMNS($B$7:J7)))))),"")</f>
        <v>H2</v>
      </c>
      <c r="K5" s="27" t="str">
        <f>IFERROR(IF($D$3="C",INDEX(c_title,1,COLUMNS($B$7:K7)),IF($D$3="A",INDEX(a_title,1,COLUMNS($B$7:K7)),IF($D$3="B",INDEX(b_title,1,COLUMNS($B$7:K7)),IF($D$3="I",INDEX(ai_title,1,COLUMNS($B$7:K7)))))),"")</f>
        <v>B1</v>
      </c>
      <c r="L5" s="27" t="str">
        <f>IFERROR(IF($D$3="C",INDEX(c_title,1,COLUMNS($B$7:L7)),IF($D$3="A",INDEX(a_title,1,COLUMNS($B$7:L7)),IF($D$3="B",INDEX(b_title,1,COLUMNS($B$7:L7)),IF($D$3="I",INDEX(ai_title,1,COLUMNS($B$7:L7)))))),"")</f>
        <v>B2</v>
      </c>
      <c r="M5" s="27" t="str">
        <f>IFERROR(IF($D$3="C",INDEX(c_title,1,COLUMNS($B$7:M7)),IF($D$3="A",INDEX(a_title,1,COLUMNS($B$7:M7)),IF($D$3="B",INDEX(b_title,1,COLUMNS($B$7:M7)),IF($D$3="I",INDEX(ai_title,1,COLUMNS($B$7:M7)))))),"")</f>
        <v/>
      </c>
      <c r="N5" s="27" t="str">
        <f>IFERROR(IF($D$3="C",INDEX(c_title,1,COLUMNS($B$7:N7)),IF($D$3="A",INDEX(a_title,1,COLUMNS($B$7:N7)),IF($D$3="B",INDEX(b_title,1,COLUMNS($B$7:N7)),IF($D$3="I",INDEX(ai_title,1,COLUMNS($B$7:N7)))))),"")</f>
        <v/>
      </c>
      <c r="O5" s="27" t="str">
        <f>IFERROR(IF($D$3="C",INDEX(c_title,1,COLUMNS($B$7:O7)),IF($D$3="A",INDEX(a_title,1,COLUMNS($B$7:O7)),IF($D$3="B",INDEX(b_title,1,COLUMNS($B$7:O7)),IF($D$3="I",INDEX(ai_title,1,COLUMNS($B$7:O7)))))),"")</f>
        <v/>
      </c>
      <c r="P5" s="66" t="str">
        <f>IFERROR(IF($D$3="C",INDEX(c_title,1,COLUMNS($B$7:P7)),IF($D$3="A",INDEX(a_title,1,COLUMNS($B$7:P7)),IF($D$3="B",INDEX(b_title,1,COLUMNS($B$7:P7)),IF($D$3="I",INDEX(ai_title,1,COLUMNS($B$7:P7)))))),"")</f>
        <v/>
      </c>
      <c r="Q5" t="str">
        <f>IFERROR(IF($D$3="C",INDEX(c_title,1,COLUMNS($B$7:Q7)),IF($D$3="A",INDEX(a_title,1,COLUMNS($B$7:Q7)),IF($D$3="B",INDEX(b_title,1,COLUMNS($B$7:Q7)),IF($D$3="I",INDEX(ai_title,1,COLUMNS($B$7:Q7)))))),"")</f>
        <v/>
      </c>
      <c r="R5" t="str">
        <f>IFERROR(IF($D$3="C",INDEX(c_title,1,COLUMNS($B$7:R7)),IF($D$3="A",INDEX(a_title,1,COLUMNS($B$7:R7)),IF($D$3="B",INDEX(b_title,1,COLUMNS($B$7:R7)),IF($D$3="I",INDEX(ai_title,1,COLUMNS($B$7:R7)))))),"")</f>
        <v/>
      </c>
      <c r="S5" t="str">
        <f>IFERROR(IF($D$3="C",INDEX(c_title,1,COLUMNS($B$7:S7)),IF($D$3="A",INDEX(a_title,1,COLUMNS($B$7:S7)),IF($D$3="B",INDEX(b_title,1,COLUMNS($B$7:S7)),IF($D$3="I",INDEX(ai_title,1,COLUMNS($B$7:S7)))))),"")</f>
        <v/>
      </c>
    </row>
    <row r="6" spans="1:19" x14ac:dyDescent="0.25">
      <c r="B6" s="28">
        <f>IFERROR(IF($D$3="C",IF($F$3=1,VLOOKUP($C$3,c_single,COLUMNS($B$7:B7)),IF($F$3=2,VLOOKUP($C$3,c_double,COLUMNS($B$7:B7)),IF($F$3=3,VLOOKUP($C$3,c_triple,COLUMNS($B$7:B7))))),IF($D$3="B",IF($F$3=1,VLOOKUP($C$3,b_single,COLUMNS($B$7:B7)),IF($F$3=2,VLOOKUP($C$3,b_double,COLUMNS($B$7:B7)),IF($F$3=3,VLOOKUP($C$3,b_triple,COLUMNS($B$7:B7))))),IF($D$3="I",IF($F$3=1,VLOOKUP($C$3,ai_single,COLUMNS($B$7:B7)),IF($F$3=2,VLOOKUP($C$3,ai_double,COLUMNS($B$7:B7)),IF($F$3=3,VLOOKUP($C$3,ai_triple,COLUMNS($B$7:B7))))),IF($D$3="A",IF($F$3=1,VLOOKUP($C$3,a_single,COLUMNS($B$7:B7)),IF($F$3=2,VLOOKUP($C$3,a_double,COLUMNS($B$7:B7)),IF($F$3=3,VLOOKUP($C$3,a_triple,COLUMNS($B$7:B7))))))))),"")</f>
        <v>1220</v>
      </c>
      <c r="C6" s="28">
        <f>IFERROR(IF($D$3="C",IF($F$3=1,VLOOKUP($C$3,c_single,COLUMNS($B$7:C7)),IF($F$3=2,VLOOKUP($C$3,c_double,COLUMNS($B$7:C7)),IF($F$3=3,VLOOKUP($C$3,c_triple,COLUMNS($B$7:C7))))),IF($D$3="B",IF($F$3=1,VLOOKUP($C$3,b_single,COLUMNS($B$7:C7)),IF($F$3=2,VLOOKUP($C$3,b_double,COLUMNS($B$7:C7)),IF($F$3=3,VLOOKUP($C$3,b_triple,COLUMNS($B$7:C7))))),IF($D$3="I",IF($F$3=1,VLOOKUP($C$3,ai_single,COLUMNS($B$7:C7)),IF($F$3=2,VLOOKUP($C$3,ai_double,COLUMNS($B$7:C7)),IF($F$3=3,VLOOKUP($C$3,ai_triple,COLUMNS($B$7:C7))))),IF($D$3="A",IF($F$3=1,VLOOKUP($C$3,a_single,COLUMNS($B$7:C7)),IF($F$3=2,VLOOKUP($C$3,a_double,COLUMNS($B$7:C7)),IF($F$3=3,VLOOKUP($C$3,a_triple,COLUMNS($B$7:C7))))))))),"")</f>
        <v>0.1</v>
      </c>
      <c r="D6" s="28">
        <f>IFERROR(IF($D$3="C",IF($F$3=1,VLOOKUP($C$3,c_single,COLUMNS($B$7:D7)),IF($F$3=2,VLOOKUP($C$3,c_double,COLUMNS($B$7:D7)),IF($F$3=3,VLOOKUP($C$3,c_triple,COLUMNS($B$7:D7))))),IF($D$3="B",IF($F$3=1,VLOOKUP($C$3,b_single,COLUMNS($B$7:D7)),IF($F$3=2,VLOOKUP($C$3,b_double,COLUMNS($B$7:D7)),IF($F$3=3,VLOOKUP($C$3,b_triple,COLUMNS($B$7:D7))))),IF($D$3="I",IF($F$3=1,VLOOKUP($C$3,ai_single,COLUMNS($B$7:D7)),IF($F$3=2,VLOOKUP($C$3,ai_double,COLUMNS($B$7:D7)),IF($F$3=3,VLOOKUP($C$3,ai_triple,COLUMNS($B$7:D7))))),IF($D$3="A",IF($F$3=1,VLOOKUP($C$3,a_single,COLUMNS($B$7:D7)),IF($F$3=2,VLOOKUP($C$3,a_double,COLUMNS($B$7:D7)),IF($F$3=3,VLOOKUP($C$3,a_triple,COLUMNS($B$7:D7))))))))),"")</f>
        <v>1.42</v>
      </c>
      <c r="E6" s="28">
        <f>IFERROR(IF($D$3="C",IF($F$3=1,VLOOKUP($C$3,c_single,COLUMNS($B$7:E7)),IF($F$3=2,VLOOKUP($C$3,c_double,COLUMNS($B$7:E7)),IF($F$3=3,VLOOKUP($C$3,c_triple,COLUMNS($B$7:E7))))),IF($D$3="B",IF($F$3=1,VLOOKUP($C$3,b_single,COLUMNS($B$7:E7)),IF($F$3=2,VLOOKUP($C$3,b_double,COLUMNS($B$7:E7)),IF($F$3=3,VLOOKUP($C$3,b_triple,COLUMNS($B$7:E7))))),IF($D$3="I",IF($F$3=1,VLOOKUP($C$3,ai_single,COLUMNS($B$7:E7)),IF($F$3=2,VLOOKUP($C$3,ai_double,COLUMNS($B$7:E7)),IF($F$3=3,VLOOKUP($C$3,ai_triple,COLUMNS($B$7:E7))))),IF($D$3="A",IF($F$3=1,VLOOKUP($C$3,a_single,COLUMNS($B$7:E7)),IF($F$3=2,VLOOKUP($C$3,a_double,COLUMNS($B$7:E7)),IF($F$3=3,VLOOKUP($C$3,a_triple,COLUMNS($B$7:E7))))))))),"")</f>
        <v>2.02</v>
      </c>
      <c r="F6" s="28">
        <f>IFERROR(IF($D$3="C",IF($F$3=1,VLOOKUP($C$3,c_single,COLUMNS($B$7:F7)),IF($F$3=2,VLOOKUP($C$3,c_double,COLUMNS($B$7:F7)),IF($F$3=3,VLOOKUP($C$3,c_triple,COLUMNS($B$7:F7))))),IF($D$3="B",IF($F$3=1,VLOOKUP($C$3,b_single,COLUMNS($B$7:F7)),IF($F$3=2,VLOOKUP($C$3,b_double,COLUMNS($B$7:F7)),IF($F$3=3,VLOOKUP($C$3,b_triple,COLUMNS($B$7:F7))))),IF($D$3="I",IF($F$3=1,VLOOKUP($C$3,ai_single,COLUMNS($B$7:F7)),IF($F$3=2,VLOOKUP($C$3,ai_double,COLUMNS($B$7:F7)),IF($F$3=3,VLOOKUP($C$3,ai_triple,COLUMNS($B$7:F7))))),IF($D$3="A",IF($F$3=1,VLOOKUP($C$3,a_single,COLUMNS($B$7:F7)),IF($F$3=2,VLOOKUP($C$3,a_double,COLUMNS($B$7:F7)),IF($F$3=3,VLOOKUP($C$3,a_triple,COLUMNS($B$7:F7))))))))),"")</f>
        <v>5.52</v>
      </c>
      <c r="G6" s="28">
        <f>IFERROR(IF($D$3="C",IF($F$3=1,VLOOKUP($C$3,c_single,COLUMNS($B$7:G7)),IF($F$3=2,VLOOKUP($C$3,c_double,COLUMNS($B$7:G7)),IF($F$3=3,VLOOKUP($C$3,c_triple,COLUMNS($B$7:G7))))),IF($D$3="B",IF($F$3=1,VLOOKUP($C$3,b_single,COLUMNS($B$7:G7)),IF($F$3=2,VLOOKUP($C$3,b_double,COLUMNS($B$7:G7)),IF($F$3=3,VLOOKUP($C$3,b_triple,COLUMNS($B$7:G7))))),IF($D$3="I",IF($F$3=1,VLOOKUP($C$3,ai_single,COLUMNS($B$7:G7)),IF($F$3=2,VLOOKUP($C$3,ai_double,COLUMNS($B$7:G7)),IF($F$3=3,VLOOKUP($C$3,ai_triple,COLUMNS($B$7:G7))))),IF($D$3="A",IF($F$3=1,VLOOKUP($C$3,a_single,COLUMNS($B$7:G7)),IF($F$3=2,VLOOKUP($C$3,a_double,COLUMNS($B$7:G7)),IF($F$3=3,VLOOKUP($C$3,a_triple,COLUMNS($B$7:G7))))))))),"")</f>
        <v>2.5299999999999998</v>
      </c>
      <c r="H6" s="28">
        <f>IFERROR(IF($D$3="C",IF($F$3=1,VLOOKUP($C$3,c_single,COLUMNS($B$7:H7)),IF($F$3=2,VLOOKUP($C$3,c_double,COLUMNS($B$7:H7)),IF($F$3=3,VLOOKUP($C$3,c_triple,COLUMNS($B$7:H7))))),IF($D$3="B",IF($F$3=1,VLOOKUP($C$3,b_single,COLUMNS($B$7:H7)),IF($F$3=2,VLOOKUP($C$3,b_double,COLUMNS($B$7:H7)),IF($F$3=3,VLOOKUP($C$3,b_triple,COLUMNS($B$7:H7))))),IF($D$3="I",IF($F$3=1,VLOOKUP($C$3,ai_single,COLUMNS($B$7:H7)),IF($F$3=2,VLOOKUP($C$3,ai_double,COLUMNS($B$7:H7)),IF($F$3=3,VLOOKUP($C$3,ai_triple,COLUMNS($B$7:H7))))),IF($D$3="A",IF($F$3=1,VLOOKUP($C$3,a_single,COLUMNS($B$7:H7)),IF($F$3=2,VLOOKUP($C$3,a_double,COLUMNS($B$7:H7)),IF($F$3=3,VLOOKUP($C$3,a_triple,COLUMNS($B$7:H7))))))))),"")</f>
        <v>3.55</v>
      </c>
      <c r="I6" s="28">
        <f>IFERROR(IF($D$3="C",IF($F$3=1,VLOOKUP($C$3,c_single,COLUMNS($B$7:I7)),IF($F$3=2,VLOOKUP($C$3,c_double,COLUMNS($B$7:I7)),IF($F$3=3,VLOOKUP($C$3,c_triple,COLUMNS($B$7:I7))))),IF($D$3="B",IF($F$3=1,VLOOKUP($C$3,b_single,COLUMNS($B$7:I7)),IF($F$3=2,VLOOKUP($C$3,b_double,COLUMNS($B$7:I7)),IF($F$3=3,VLOOKUP($C$3,b_triple,COLUMNS($B$7:I7))))),IF($D$3="I",IF($F$3=1,VLOOKUP($C$3,ai_single,COLUMNS($B$7:I7)),IF($F$3=2,VLOOKUP($C$3,ai_double,COLUMNS($B$7:I7)),IF($F$3=3,VLOOKUP($C$3,ai_triple,COLUMNS($B$7:I7))))),IF($D$3="A",IF($F$3=1,VLOOKUP($C$3,a_single,COLUMNS($B$7:I7)),IF($F$3=2,VLOOKUP($C$3,a_double,COLUMNS($B$7:I7)),IF($F$3=3,VLOOKUP($C$3,a_triple,COLUMNS($B$7:I7))))))))),"")</f>
        <v>2.37</v>
      </c>
      <c r="J6" s="28">
        <f>IFERROR(IF($D$3="C",IF($F$3=1,VLOOKUP($C$3,c_single,COLUMNS($B$7:J7)),IF($F$3=2,VLOOKUP($C$3,c_double,COLUMNS($B$7:J7)),IF($F$3=3,VLOOKUP($C$3,c_triple,COLUMNS($B$7:J7))))),IF($D$3="B",IF($F$3=1,VLOOKUP($C$3,b_single,COLUMNS($B$7:J7)),IF($F$3=2,VLOOKUP($C$3,b_double,COLUMNS($B$7:J7)),IF($F$3=3,VLOOKUP($C$3,b_triple,COLUMNS($B$7:J7))))),IF($D$3="I",IF($F$3=1,VLOOKUP($C$3,ai_single,COLUMNS($B$7:J7)),IF($F$3=2,VLOOKUP($C$3,ai_double,COLUMNS($B$7:J7)),IF($F$3=3,VLOOKUP($C$3,ai_triple,COLUMNS($B$7:J7))))),IF($D$3="A",IF($F$3=1,VLOOKUP($C$3,a_single,COLUMNS($B$7:J7)),IF($F$3=2,VLOOKUP($C$3,a_double,COLUMNS($B$7:J7)),IF($F$3=3,VLOOKUP($C$3,a_triple,COLUMNS($B$7:J7))))))))),"")</f>
        <v>2.02</v>
      </c>
      <c r="K6" s="28">
        <f>IFERROR(IF($D$3="C",IF($F$3=1,VLOOKUP($C$3,c_single,COLUMNS($B$7:K7)),IF($F$3=2,VLOOKUP($C$3,c_double,COLUMNS($B$7:K7)),IF($F$3=3,VLOOKUP($C$3,c_triple,COLUMNS($B$7:K7))))),IF($D$3="B",IF($F$3=1,VLOOKUP($C$3,b_single,COLUMNS($B$7:K7)),IF($F$3=2,VLOOKUP($C$3,b_double,COLUMNS($B$7:K7)),IF($F$3=3,VLOOKUP($C$3,b_triple,COLUMNS($B$7:K7))))),IF($D$3="I",IF($F$3=1,VLOOKUP($C$3,ai_single,COLUMNS($B$7:K7)),IF($F$3=2,VLOOKUP($C$3,ai_double,COLUMNS($B$7:K7)),IF($F$3=3,VLOOKUP($C$3,ai_triple,COLUMNS($B$7:K7))))),IF($D$3="A",IF($F$3=1,VLOOKUP($C$3,a_single,COLUMNS($B$7:K7)),IF($F$3=2,VLOOKUP($C$3,a_double,COLUMNS($B$7:K7)),IF($F$3=3,VLOOKUP($C$3,a_triple,COLUMNS($B$7:K7))))))))),"")</f>
        <v>1.25</v>
      </c>
      <c r="L6" s="28">
        <f>IFERROR(IF($D$3="C",IF($F$3=1,VLOOKUP($C$3,c_single,COLUMNS($B$7:L7)),IF($F$3=2,VLOOKUP($C$3,c_double,COLUMNS($B$7:L7)),IF($F$3=3,VLOOKUP($C$3,c_triple,COLUMNS($B$7:L7))))),IF($D$3="B",IF($F$3=1,VLOOKUP($C$3,b_single,COLUMNS($B$7:L7)),IF($F$3=2,VLOOKUP($C$3,b_double,COLUMNS($B$7:L7)),IF($F$3=3,VLOOKUP($C$3,b_triple,COLUMNS($B$7:L7))))),IF($D$3="I",IF($F$3=1,VLOOKUP($C$3,ai_single,COLUMNS($B$7:L7)),IF($F$3=2,VLOOKUP($C$3,ai_double,COLUMNS($B$7:L7)),IF($F$3=3,VLOOKUP($C$3,ai_triple,COLUMNS($B$7:L7))))),IF($D$3="A",IF($F$3=1,VLOOKUP($C$3,a_single,COLUMNS($B$7:L7)),IF($F$3=2,VLOOKUP($C$3,a_double,COLUMNS($B$7:L7)),IF($F$3=3,VLOOKUP($C$3,a_triple,COLUMNS($B$7:L7))))))))),"")</f>
        <v>1.1100000000000001</v>
      </c>
      <c r="M6" s="28" t="str">
        <f>IFERROR(IF($D$3="C",IF($F$3=1,VLOOKUP($C$3,c_single,COLUMNS($B$7:M7)),IF($F$3=2,VLOOKUP($C$3,c_double,COLUMNS($B$7:M7)),IF($F$3=3,VLOOKUP($C$3,c_triple,COLUMNS($B$7:M7))))),IF($D$3="B",IF($F$3=1,VLOOKUP($C$3,b_single,COLUMNS($B$7:M7)),IF($F$3=2,VLOOKUP($C$3,b_double,COLUMNS($B$7:M7)),IF($F$3=3,VLOOKUP($C$3,b_triple,COLUMNS($B$7:M7))))),IF($D$3="I",IF($F$3=1,VLOOKUP($C$3,ai_single,COLUMNS($B$7:M7)),IF($F$3=2,VLOOKUP($C$3,ai_double,COLUMNS($B$7:M7)),IF($F$3=3,VLOOKUP($C$3,ai_triple,COLUMNS($B$7:M7))))),IF($D$3="A",IF($F$3=1,VLOOKUP($C$3,a_single,COLUMNS($B$7:M7)),IF($F$3=2,VLOOKUP($C$3,a_double,COLUMNS($B$7:M7)),IF($F$3=3,VLOOKUP($C$3,a_triple,COLUMNS($B$7:M7))))))))),"")</f>
        <v/>
      </c>
      <c r="N6" s="28" t="str">
        <f>IFERROR(IF($D$3="C",IF($F$3=1,VLOOKUP($C$3,c_single,COLUMNS($B$7:N7)),IF($F$3=2,VLOOKUP($C$3,c_double,COLUMNS($B$7:N7)),IF($F$3=3,VLOOKUP($C$3,c_triple,COLUMNS($B$7:N7))))),IF($D$3="B",IF($F$3=1,VLOOKUP($C$3,b_single,COLUMNS($B$7:N7)),IF($F$3=2,VLOOKUP($C$3,b_double,COLUMNS($B$7:N7)),IF($F$3=3,VLOOKUP($C$3,b_triple,COLUMNS($B$7:N7))))),IF($D$3="I",IF($F$3=1,VLOOKUP($C$3,ai_single,COLUMNS($B$7:N7)),IF($F$3=2,VLOOKUP($C$3,ai_double,COLUMNS($B$7:N7)),IF($F$3=3,VLOOKUP($C$3,ai_triple,COLUMNS($B$7:N7))))),IF($D$3="A",IF($F$3=1,VLOOKUP($C$3,a_single,COLUMNS($B$7:N7)),IF($F$3=2,VLOOKUP($C$3,a_double,COLUMNS($B$7:N7)),IF($F$3=3,VLOOKUP($C$3,a_triple,COLUMNS($B$7:N7))))))))),"")</f>
        <v/>
      </c>
      <c r="O6" s="28" t="str">
        <f>IFERROR(IF($D$3="C",IF($F$3=1,VLOOKUP($C$3,c_single,COLUMNS($B$7:O7)),IF($F$3=2,VLOOKUP($C$3,c_double,COLUMNS($B$7:O7)),IF($F$3=3,VLOOKUP($C$3,c_triple,COLUMNS($B$7:O7))))),IF($D$3="B",IF($F$3=1,VLOOKUP($C$3,b_single,COLUMNS($B$7:O7)),IF($F$3=2,VLOOKUP($C$3,b_double,COLUMNS($B$7:O7)),IF($F$3=3,VLOOKUP($C$3,b_triple,COLUMNS($B$7:O7))))),IF($D$3="I",IF($F$3=1,VLOOKUP($C$3,ai_single,COLUMNS($B$7:O7)),IF($F$3=2,VLOOKUP($C$3,ai_double,COLUMNS($B$7:O7)),IF($F$3=3,VLOOKUP($C$3,ai_triple,COLUMNS($B$7:O7))))),IF($D$3="A",IF($F$3=1,VLOOKUP($C$3,a_single,COLUMNS($B$7:O7)),IF($F$3=2,VLOOKUP($C$3,a_double,COLUMNS($B$7:O7)),IF($F$3=3,VLOOKUP($C$3,a_triple,COLUMNS($B$7:O7))))))))),"")</f>
        <v/>
      </c>
      <c r="P6" s="66"/>
    </row>
    <row r="7" spans="1:19" x14ac:dyDescent="0.25">
      <c r="P7" s="66"/>
    </row>
    <row r="8" spans="1:19" x14ac:dyDescent="0.25">
      <c r="B8" s="21" t="s">
        <v>27</v>
      </c>
      <c r="C8" s="9" t="s">
        <v>7</v>
      </c>
      <c r="D8" s="9" t="s">
        <v>7</v>
      </c>
      <c r="E8" s="9" t="s">
        <v>7</v>
      </c>
      <c r="F8" s="9" t="s">
        <v>7</v>
      </c>
      <c r="G8" s="9" t="s">
        <v>7</v>
      </c>
      <c r="H8" s="9" t="s">
        <v>7</v>
      </c>
      <c r="I8" s="9" t="s">
        <v>7</v>
      </c>
      <c r="J8" s="9" t="s">
        <v>7</v>
      </c>
      <c r="K8" s="9" t="s">
        <v>7</v>
      </c>
      <c r="L8" s="9" t="s">
        <v>7</v>
      </c>
      <c r="M8" s="9" t="s">
        <v>7</v>
      </c>
      <c r="N8" s="9" t="s">
        <v>7</v>
      </c>
      <c r="O8" s="9" t="s">
        <v>7</v>
      </c>
      <c r="P8" s="66"/>
    </row>
    <row r="9" spans="1:19" x14ac:dyDescent="0.25">
      <c r="B9" s="27" t="str">
        <f>IFERROR(IF($E$3="C",INDEX(c_title,1,COLUMNS($B$7:B11)),IF($E$3="A",INDEX(a_title,1,COLUMNS($B$7:B11)),IF($E$3="B",INDEX(b_title,1,COLUMNS($B$7:B11)),IF($E$3="I",INDEX(ai_title,1,COLUMNS($B$7:B11)))))),"")</f>
        <v>Di</v>
      </c>
      <c r="C9" s="27" t="str">
        <f>IFERROR(IF($E$3="C",INDEX(c_title,1,COLUMNS($B$7:C11)),IF($E$3="A",INDEX(a_title,1,COLUMNS($B$7:C11)),IF($E$3="B",INDEX(b_title,1,COLUMNS($B$7:C11)),IF($E$3="I",INDEX(ai_title,1,COLUMNS($B$7:C11)))))),"")</f>
        <v>t</v>
      </c>
      <c r="D9" s="27" t="str">
        <f>IFERROR(IF($E$3="C",INDEX(c_title,1,COLUMNS($B$7:D11)),IF($E$3="A",INDEX(a_title,1,COLUMNS($B$7:D11)),IF($E$3="B",INDEX(b_title,1,COLUMNS($B$7:D11)),IF($E$3="I",INDEX(ai_title,1,COLUMNS($B$7:D11)))))),"")</f>
        <v>Do</v>
      </c>
      <c r="E9" s="27" t="str">
        <f>IFERROR(IF($E$3="C",INDEX(c_title,1,COLUMNS($B$7:E11)),IF($E$3="A",INDEX(a_title,1,COLUMNS($B$7:E11)),IF($E$3="B",INDEX(b_title,1,COLUMNS($B$7:E11)),IF($E$3="I",INDEX(ai_title,1,COLUMNS($B$7:E11)))))),"")</f>
        <v>L1</v>
      </c>
      <c r="F9" s="27" t="str">
        <f>IFERROR(IF($E$3="C",INDEX(c_title,1,COLUMNS($B$7:F11)),IF($E$3="A",INDEX(a_title,1,COLUMNS($B$7:F11)),IF($E$3="B",INDEX(b_title,1,COLUMNS($B$7:F11)),IF($E$3="I",INDEX(ai_title,1,COLUMNS($B$7:F11)))))),"")</f>
        <v>L2</v>
      </c>
      <c r="G9" s="27" t="str">
        <f>IFERROR(IF($E$3="C",INDEX(c_title,1,COLUMNS($B$7:G11)),IF($E$3="A",INDEX(a_title,1,COLUMNS($B$7:G11)),IF($E$3="B",INDEX(b_title,1,COLUMNS($B$7:G11)),IF($E$3="I",INDEX(ai_title,1,COLUMNS($B$7:G11)))))),"")</f>
        <v>L3</v>
      </c>
      <c r="H9" s="27" t="str">
        <f>IFERROR(IF($E$3="C",INDEX(c_title,1,COLUMNS($B$7:H11)),IF($E$3="A",INDEX(a_title,1,COLUMNS($B$7:H11)),IF($E$3="B",INDEX(b_title,1,COLUMNS($B$7:H11)),IF($E$3="I",INDEX(ai_title,1,COLUMNS($B$7:H11)))))),"")</f>
        <v>W1</v>
      </c>
      <c r="I9" s="27" t="str">
        <f>IFERROR(IF($E$3="C",INDEX(c_title,1,COLUMNS($B$7:I11)),IF($E$3="A",INDEX(a_title,1,COLUMNS($B$7:I11)),IF($E$3="B",INDEX(b_title,1,COLUMNS($B$7:I11)),IF($E$3="I",INDEX(ai_title,1,COLUMNS($B$7:I11)))))),"")</f>
        <v>H1</v>
      </c>
      <c r="J9" s="27" t="str">
        <f>IFERROR(IF($E$3="C",INDEX(c_title,1,COLUMNS($B$7:J11)),IF($E$3="A",INDEX(a_title,1,COLUMNS($B$7:J11)),IF($E$3="B",INDEX(b_title,1,COLUMNS($B$7:J11)),IF($E$3="I",INDEX(ai_title,1,COLUMNS($B$7:J11)))))),"")</f>
        <v>H2</v>
      </c>
      <c r="K9" s="27" t="str">
        <f>IFERROR(IF($E$3="C",INDEX(c_title,1,COLUMNS($B$7:K11)),IF($E$3="A",INDEX(a_title,1,COLUMNS($B$7:K11)),IF($E$3="B",INDEX(b_title,1,COLUMNS($B$7:K11)),IF($E$3="I",INDEX(ai_title,1,COLUMNS($B$7:K11)))))),"")</f>
        <v>B1</v>
      </c>
      <c r="L9" s="27" t="str">
        <f>IFERROR(IF($E$3="C",INDEX(c_title,1,COLUMNS($B$7:L11)),IF($E$3="A",INDEX(a_title,1,COLUMNS($B$7:L11)),IF($E$3="B",INDEX(b_title,1,COLUMNS($B$7:L11)),IF($E$3="I",INDEX(ai_title,1,COLUMNS($B$7:L11)))))),"")</f>
        <v>B2</v>
      </c>
      <c r="M9" s="27" t="str">
        <f>IFERROR(IF($E$3="C",INDEX(c_title,1,COLUMNS($B$7:M11)),IF($E$3="A",INDEX(a_title,1,COLUMNS($B$7:M11)),IF($E$3="B",INDEX(b_title,1,COLUMNS($B$7:M11)),IF($E$3="I",INDEX(ai_title,1,COLUMNS($B$7:M11)))))),"")</f>
        <v/>
      </c>
      <c r="N9" s="27" t="str">
        <f>IFERROR(IF($E$3="C",INDEX(c_title,1,COLUMNS($B$7:N11)),IF($E$3="A",INDEX(a_title,1,COLUMNS($B$7:N11)),IF($E$3="B",INDEX(b_title,1,COLUMNS($B$7:N11)),IF($E$3="I",INDEX(ai_title,1,COLUMNS($B$7:N11)))))),"")</f>
        <v/>
      </c>
      <c r="O9" s="27" t="str">
        <f>IFERROR(IF($E$3="C",INDEX(c_title,1,COLUMNS($B$7:O11)),IF($E$3="A",INDEX(a_title,1,COLUMNS($B$7:O11)),IF($E$3="B",INDEX(b_title,1,COLUMNS($B$7:O11)),IF($E$3="I",INDEX(ai_title,1,COLUMNS($B$7:O11)))))),"")</f>
        <v/>
      </c>
      <c r="P9" s="66"/>
    </row>
    <row r="10" spans="1:19" x14ac:dyDescent="0.25">
      <c r="B10" s="28">
        <f>IFERROR(IF($E$3="C",IF($F$3=1,VLOOKUP($C$3,c_single,COLUMNS($B$7:B11)),IF($F$3=2,VLOOKUP($C$3,c_double,COLUMNS($B$7:B11)),IF($F$3=3,VLOOKUP($C$3,c_triple,COLUMNS($B$7:B11))))),IF($E$3="B",IF($F$3=1,VLOOKUP($C$3,b_single,COLUMNS($B$7:B11)),IF($F$3=2,VLOOKUP($C$3,b_double,COLUMNS($B$7:B11)),IF($F$3=3,VLOOKUP($C$3,b_triple,COLUMNS($B$7:B11))))),IF($E$3="I",IF($F$3=1,VLOOKUP($C$3,ai_single,COLUMNS($B$7:B11)),IF($F$3=2,VLOOKUP($C$3,ai_double,COLUMNS($B$7:B11)),IF($F$3=3,VLOOKUP($C$3,ai_triple,COLUMNS($B$7:B11))))),IF($E$3="A",IF($F$3=1,VLOOKUP($C$3,a_single,COLUMNS($B$7:B11)),IF($F$3=2,VLOOKUP($C$3,a_double,COLUMNS($B$7:B11)),IF($F$3=3,VLOOKUP($C$3,a_triple,COLUMNS($B$7:B11))))))))),"")</f>
        <v>1220</v>
      </c>
      <c r="C10" s="28">
        <f>IFERROR(IF($E$3="C",IF($F$3=1,VLOOKUP($C$3,c_single,COLUMNS($B$7:C11)),IF($F$3=2,VLOOKUP($C$3,c_double,COLUMNS($B$7:C11)),IF($F$3=3,VLOOKUP($C$3,c_triple,COLUMNS($B$7:C11))))),IF($E$3="B",IF($F$3=1,VLOOKUP($C$3,b_single,COLUMNS($B$7:C11)),IF($F$3=2,VLOOKUP($C$3,b_double,COLUMNS($B$7:C11)),IF($F$3=3,VLOOKUP($C$3,b_triple,COLUMNS($B$7:C11))))),IF($E$3="I",IF($F$3=1,VLOOKUP($C$3,ai_single,COLUMNS($B$7:C11)),IF($F$3=2,VLOOKUP($C$3,ai_double,COLUMNS($B$7:C11)),IF($F$3=3,VLOOKUP($C$3,ai_triple,COLUMNS($B$7:C11))))),IF($E$3="A",IF($F$3=1,VLOOKUP($C$3,a_single,COLUMNS($B$7:C11)),IF($F$3=2,VLOOKUP($C$3,a_double,COLUMNS($B$7:C11)),IF($F$3=3,VLOOKUP($C$3,a_triple,COLUMNS($B$7:C11))))))))),"")</f>
        <v>0.1</v>
      </c>
      <c r="D10" s="28">
        <f>IFERROR(IF($E$3="C",IF($F$3=1,VLOOKUP($C$3,c_single,COLUMNS($B$7:D11)),IF($F$3=2,VLOOKUP($C$3,c_double,COLUMNS($B$7:D11)),IF($F$3=3,VLOOKUP($C$3,c_triple,COLUMNS($B$7:D11))))),IF($E$3="B",IF($F$3=1,VLOOKUP($C$3,b_single,COLUMNS($B$7:D11)),IF($F$3=2,VLOOKUP($C$3,b_double,COLUMNS($B$7:D11)),IF($F$3=3,VLOOKUP($C$3,b_triple,COLUMNS($B$7:D11))))),IF($E$3="I",IF($F$3=1,VLOOKUP($C$3,ai_single,COLUMNS($B$7:D11)),IF($F$3=2,VLOOKUP($C$3,ai_double,COLUMNS($B$7:D11)),IF($F$3=3,VLOOKUP($C$3,ai_triple,COLUMNS($B$7:D11))))),IF($E$3="A",IF($F$3=1,VLOOKUP($C$3,a_single,COLUMNS($B$7:D11)),IF($F$3=2,VLOOKUP($C$3,a_double,COLUMNS($B$7:D11)),IF($F$3=3,VLOOKUP($C$3,a_triple,COLUMNS($B$7:D11))))))))),"")</f>
        <v>1.42</v>
      </c>
      <c r="E10" s="28">
        <f>IFERROR(IF($E$3="C",IF($F$3=1,VLOOKUP($C$3,c_single,COLUMNS($B$7:E11)),IF($F$3=2,VLOOKUP($C$3,c_double,COLUMNS($B$7:E11)),IF($F$3=3,VLOOKUP($C$3,c_triple,COLUMNS($B$7:E11))))),IF($E$3="B",IF($F$3=1,VLOOKUP($C$3,b_single,COLUMNS($B$7:E11)),IF($F$3=2,VLOOKUP($C$3,b_double,COLUMNS($B$7:E11)),IF($F$3=3,VLOOKUP($C$3,b_triple,COLUMNS($B$7:E11))))),IF($E$3="I",IF($F$3=1,VLOOKUP($C$3,ai_single,COLUMNS($B$7:E11)),IF($F$3=2,VLOOKUP($C$3,ai_double,COLUMNS($B$7:E11)),IF($F$3=3,VLOOKUP($C$3,ai_triple,COLUMNS($B$7:E11))))),IF($E$3="A",IF($F$3=1,VLOOKUP($C$3,a_single,COLUMNS($B$7:E11)),IF($F$3=2,VLOOKUP($C$3,a_double,COLUMNS($B$7:E11)),IF($F$3=3,VLOOKUP($C$3,a_triple,COLUMNS($B$7:E11))))))))),"")</f>
        <v>2.02</v>
      </c>
      <c r="F10" s="28">
        <f>IFERROR(IF($E$3="C",IF($F$3=1,VLOOKUP($C$3,c_single,COLUMNS($B$7:F11)),IF($F$3=2,VLOOKUP($C$3,c_double,COLUMNS($B$7:F11)),IF($F$3=3,VLOOKUP($C$3,c_triple,COLUMNS($B$7:F11))))),IF($E$3="B",IF($F$3=1,VLOOKUP($C$3,b_single,COLUMNS($B$7:F11)),IF($F$3=2,VLOOKUP($C$3,b_double,COLUMNS($B$7:F11)),IF($F$3=3,VLOOKUP($C$3,b_triple,COLUMNS($B$7:F11))))),IF($E$3="I",IF($F$3=1,VLOOKUP($C$3,ai_single,COLUMNS($B$7:F11)),IF($F$3=2,VLOOKUP($C$3,ai_double,COLUMNS($B$7:F11)),IF($F$3=3,VLOOKUP($C$3,ai_triple,COLUMNS($B$7:F11))))),IF($E$3="A",IF($F$3=1,VLOOKUP($C$3,a_single,COLUMNS($B$7:F11)),IF($F$3=2,VLOOKUP($C$3,a_double,COLUMNS($B$7:F11)),IF($F$3=3,VLOOKUP($C$3,a_triple,COLUMNS($B$7:F11))))))))),"")</f>
        <v>5.52</v>
      </c>
      <c r="G10" s="28">
        <f>IFERROR(IF($E$3="C",IF($F$3=1,VLOOKUP($C$3,c_single,COLUMNS($B$7:G11)),IF($F$3=2,VLOOKUP($C$3,c_double,COLUMNS($B$7:G11)),IF($F$3=3,VLOOKUP($C$3,c_triple,COLUMNS($B$7:G11))))),IF($E$3="B",IF($F$3=1,VLOOKUP($C$3,b_single,COLUMNS($B$7:G11)),IF($F$3=2,VLOOKUP($C$3,b_double,COLUMNS($B$7:G11)),IF($F$3=3,VLOOKUP($C$3,b_triple,COLUMNS($B$7:G11))))),IF($E$3="I",IF($F$3=1,VLOOKUP($C$3,ai_single,COLUMNS($B$7:G11)),IF($F$3=2,VLOOKUP($C$3,ai_double,COLUMNS($B$7:G11)),IF($F$3=3,VLOOKUP($C$3,ai_triple,COLUMNS($B$7:G11))))),IF($E$3="A",IF($F$3=1,VLOOKUP($C$3,a_single,COLUMNS($B$7:G11)),IF($F$3=2,VLOOKUP($C$3,a_double,COLUMNS($B$7:G11)),IF($F$3=3,VLOOKUP($C$3,a_triple,COLUMNS($B$7:G11))))))))),"")</f>
        <v>2.5299999999999998</v>
      </c>
      <c r="H10" s="28">
        <f>IFERROR(IF($E$3="C",IF($F$3=1,VLOOKUP($C$3,c_single,COLUMNS($B$7:H11)),IF($F$3=2,VLOOKUP($C$3,c_double,COLUMNS($B$7:H11)),IF($F$3=3,VLOOKUP($C$3,c_triple,COLUMNS($B$7:H11))))),IF($E$3="B",IF($F$3=1,VLOOKUP($C$3,b_single,COLUMNS($B$7:H11)),IF($F$3=2,VLOOKUP($C$3,b_double,COLUMNS($B$7:H11)),IF($F$3=3,VLOOKUP($C$3,b_triple,COLUMNS($B$7:H11))))),IF($E$3="I",IF($F$3=1,VLOOKUP($C$3,ai_single,COLUMNS($B$7:H11)),IF($F$3=2,VLOOKUP($C$3,ai_double,COLUMNS($B$7:H11)),IF($F$3=3,VLOOKUP($C$3,ai_triple,COLUMNS($B$7:H11))))),IF($E$3="A",IF($F$3=1,VLOOKUP($C$3,a_single,COLUMNS($B$7:H11)),IF($F$3=2,VLOOKUP($C$3,a_double,COLUMNS($B$7:H11)),IF($F$3=3,VLOOKUP($C$3,a_triple,COLUMNS($B$7:H11))))))))),"")</f>
        <v>3.55</v>
      </c>
      <c r="I10" s="28">
        <f>IFERROR(IF($E$3="C",IF($F$3=1,VLOOKUP($C$3,c_single,COLUMNS($B$7:I11)),IF($F$3=2,VLOOKUP($C$3,c_double,COLUMNS($B$7:I11)),IF($F$3=3,VLOOKUP($C$3,c_triple,COLUMNS($B$7:I11))))),IF($E$3="B",IF($F$3=1,VLOOKUP($C$3,b_single,COLUMNS($B$7:I11)),IF($F$3=2,VLOOKUP($C$3,b_double,COLUMNS($B$7:I11)),IF($F$3=3,VLOOKUP($C$3,b_triple,COLUMNS($B$7:I11))))),IF($E$3="I",IF($F$3=1,VLOOKUP($C$3,ai_single,COLUMNS($B$7:I11)),IF($F$3=2,VLOOKUP($C$3,ai_double,COLUMNS($B$7:I11)),IF($F$3=3,VLOOKUP($C$3,ai_triple,COLUMNS($B$7:I11))))),IF($E$3="A",IF($F$3=1,VLOOKUP($C$3,a_single,COLUMNS($B$7:I11)),IF($F$3=2,VLOOKUP($C$3,a_double,COLUMNS($B$7:I11)),IF($F$3=3,VLOOKUP($C$3,a_triple,COLUMNS($B$7:I11))))))))),"")</f>
        <v>2.37</v>
      </c>
      <c r="J10" s="28">
        <f>IFERROR(IF($E$3="C",IF($F$3=1,VLOOKUP($C$3,c_single,COLUMNS($B$7:J11)),IF($F$3=2,VLOOKUP($C$3,c_double,COLUMNS($B$7:J11)),IF($F$3=3,VLOOKUP($C$3,c_triple,COLUMNS($B$7:J11))))),IF($E$3="B",IF($F$3=1,VLOOKUP($C$3,b_single,COLUMNS($B$7:J11)),IF($F$3=2,VLOOKUP($C$3,b_double,COLUMNS($B$7:J11)),IF($F$3=3,VLOOKUP($C$3,b_triple,COLUMNS($B$7:J11))))),IF($E$3="I",IF($F$3=1,VLOOKUP($C$3,ai_single,COLUMNS($B$7:J11)),IF($F$3=2,VLOOKUP($C$3,ai_double,COLUMNS($B$7:J11)),IF($F$3=3,VLOOKUP($C$3,ai_triple,COLUMNS($B$7:J11))))),IF($E$3="A",IF($F$3=1,VLOOKUP($C$3,a_single,COLUMNS($B$7:J11)),IF($F$3=2,VLOOKUP($C$3,a_double,COLUMNS($B$7:J11)),IF($F$3=3,VLOOKUP($C$3,a_triple,COLUMNS($B$7:J11))))))))),"")</f>
        <v>2.02</v>
      </c>
      <c r="K10" s="28">
        <f>IFERROR(IF($E$3="C",IF($F$3=1,VLOOKUP($C$3,c_single,COLUMNS($B$7:K11)),IF($F$3=2,VLOOKUP($C$3,c_double,COLUMNS($B$7:K11)),IF($F$3=3,VLOOKUP($C$3,c_triple,COLUMNS($B$7:K11))))),IF($E$3="B",IF($F$3=1,VLOOKUP($C$3,b_single,COLUMNS($B$7:K11)),IF($F$3=2,VLOOKUP($C$3,b_double,COLUMNS($B$7:K11)),IF($F$3=3,VLOOKUP($C$3,b_triple,COLUMNS($B$7:K11))))),IF($E$3="I",IF($F$3=1,VLOOKUP($C$3,ai_single,COLUMNS($B$7:K11)),IF($F$3=2,VLOOKUP($C$3,ai_double,COLUMNS($B$7:K11)),IF($F$3=3,VLOOKUP($C$3,ai_triple,COLUMNS($B$7:K11))))),IF($E$3="A",IF($F$3=1,VLOOKUP($C$3,a_single,COLUMNS($B$7:K11)),IF($F$3=2,VLOOKUP($C$3,a_double,COLUMNS($B$7:K11)),IF($F$3=3,VLOOKUP($C$3,a_triple,COLUMNS($B$7:K11))))))))),"")</f>
        <v>1.25</v>
      </c>
      <c r="L10" s="28">
        <f>IFERROR(IF($E$3="C",IF($F$3=1,VLOOKUP($C$3,c_single,COLUMNS($B$7:L11)),IF($F$3=2,VLOOKUP($C$3,c_double,COLUMNS($B$7:L11)),IF($F$3=3,VLOOKUP($C$3,c_triple,COLUMNS($B$7:L11))))),IF($E$3="B",IF($F$3=1,VLOOKUP($C$3,b_single,COLUMNS($B$7:L11)),IF($F$3=2,VLOOKUP($C$3,b_double,COLUMNS($B$7:L11)),IF($F$3=3,VLOOKUP($C$3,b_triple,COLUMNS($B$7:L11))))),IF($E$3="I",IF($F$3=1,VLOOKUP($C$3,ai_single,COLUMNS($B$7:L11)),IF($F$3=2,VLOOKUP($C$3,ai_double,COLUMNS($B$7:L11)),IF($F$3=3,VLOOKUP($C$3,ai_triple,COLUMNS($B$7:L11))))),IF($E$3="A",IF($F$3=1,VLOOKUP($C$3,a_single,COLUMNS($B$7:L11)),IF($F$3=2,VLOOKUP($C$3,a_double,COLUMNS($B$7:L11)),IF($F$3=3,VLOOKUP($C$3,a_triple,COLUMNS($B$7:L11))))))))),"")</f>
        <v>1.1100000000000001</v>
      </c>
      <c r="M10" s="28" t="str">
        <f>IFERROR(IF($E$3="C",IF($F$3=1,VLOOKUP($C$3,c_single,COLUMNS($B$7:M11)),IF($F$3=2,VLOOKUP($C$3,c_double,COLUMNS($B$7:M11)),IF($F$3=3,VLOOKUP($C$3,c_triple,COLUMNS($B$7:M11))))),IF($E$3="B",IF($F$3=1,VLOOKUP($C$3,b_single,COLUMNS($B$7:M11)),IF($F$3=2,VLOOKUP($C$3,b_double,COLUMNS($B$7:M11)),IF($F$3=3,VLOOKUP($C$3,b_triple,COLUMNS($B$7:M11))))),IF($E$3="I",IF($F$3=1,VLOOKUP($C$3,ai_single,COLUMNS($B$7:M11)),IF($F$3=2,VLOOKUP($C$3,ai_double,COLUMNS($B$7:M11)),IF($F$3=3,VLOOKUP($C$3,ai_triple,COLUMNS($B$7:M11))))),IF($E$3="A",IF($F$3=1,VLOOKUP($C$3,a_single,COLUMNS($B$7:M11)),IF($F$3=2,VLOOKUP($C$3,a_double,COLUMNS($B$7:M11)),IF($F$3=3,VLOOKUP($C$3,a_triple,COLUMNS($B$7:M11))))))))),"")</f>
        <v/>
      </c>
      <c r="N10" s="28" t="str">
        <f>IFERROR(IF($E$3="C",IF($F$3=1,VLOOKUP($C$3,c_single,COLUMNS($B$7:N11)),IF($F$3=2,VLOOKUP($C$3,c_double,COLUMNS($B$7:N11)),IF($F$3=3,VLOOKUP($C$3,c_triple,COLUMNS($B$7:N11))))),IF($E$3="B",IF($F$3=1,VLOOKUP($C$3,b_single,COLUMNS($B$7:N11)),IF($F$3=2,VLOOKUP($C$3,b_double,COLUMNS($B$7:N11)),IF($F$3=3,VLOOKUP($C$3,b_triple,COLUMNS($B$7:N11))))),IF($E$3="I",IF($F$3=1,VLOOKUP($C$3,ai_single,COLUMNS($B$7:N11)),IF($F$3=2,VLOOKUP($C$3,ai_double,COLUMNS($B$7:N11)),IF($F$3=3,VLOOKUP($C$3,ai_triple,COLUMNS($B$7:N11))))),IF($E$3="A",IF($F$3=1,VLOOKUP($C$3,a_single,COLUMNS($B$7:N11)),IF($F$3=2,VLOOKUP($C$3,a_double,COLUMNS($B$7:N11)),IF($F$3=3,VLOOKUP($C$3,a_triple,COLUMNS($B$7:N11))))))))),"")</f>
        <v/>
      </c>
      <c r="O10" s="28" t="str">
        <f>IFERROR(IF($E$3="C",IF($F$3=1,VLOOKUP($C$3,c_single,COLUMNS($B$7:O11)),IF($F$3=2,VLOOKUP($C$3,c_double,COLUMNS($B$7:O11)),IF($F$3=3,VLOOKUP($C$3,c_triple,COLUMNS($B$7:O11))))),IF($E$3="B",IF($F$3=1,VLOOKUP($C$3,b_single,COLUMNS($B$7:O11)),IF($F$3=2,VLOOKUP($C$3,b_double,COLUMNS($B$7:O11)),IF($F$3=3,VLOOKUP($C$3,b_triple,COLUMNS($B$7:O11))))),IF($E$3="I",IF($F$3=1,VLOOKUP($C$3,ai_single,COLUMNS($B$7:O11)),IF($F$3=2,VLOOKUP($C$3,ai_double,COLUMNS($B$7:O11)),IF($F$3=3,VLOOKUP($C$3,ai_triple,COLUMNS($B$7:O11))))),IF($E$3="A",IF($F$3=1,VLOOKUP($C$3,a_single,COLUMNS($B$7:O11)),IF($F$3=2,VLOOKUP($C$3,a_double,COLUMNS($B$7:O11)),IF($F$3=3,VLOOKUP($C$3,a_triple,COLUMNS($B$7:O11))))))))),"")</f>
        <v/>
      </c>
      <c r="P10" s="66"/>
    </row>
    <row r="11" spans="1:19" ht="15.75" thickBot="1" x14ac:dyDescent="0.3">
      <c r="P11" s="66"/>
    </row>
    <row r="12" spans="1:19" ht="16.5" thickTop="1" thickBot="1" x14ac:dyDescent="0.3">
      <c r="E12" t="s">
        <v>31</v>
      </c>
      <c r="J12" s="244" t="s">
        <v>24</v>
      </c>
      <c r="K12" s="244"/>
      <c r="P12" s="66"/>
    </row>
    <row r="13" spans="1:19" ht="15" customHeight="1" thickTop="1" x14ac:dyDescent="0.25">
      <c r="A13" s="217" t="s">
        <v>3</v>
      </c>
      <c r="B13" s="217"/>
      <c r="C13" s="217"/>
      <c r="D13" s="217"/>
      <c r="E13" s="217"/>
      <c r="F13" s="217"/>
      <c r="G13" s="217"/>
      <c r="H13" s="217"/>
      <c r="I13" s="217"/>
      <c r="J13" s="237" t="s">
        <v>13</v>
      </c>
      <c r="K13" s="237" t="s">
        <v>14</v>
      </c>
      <c r="P13" s="66"/>
    </row>
    <row r="14" spans="1:19" ht="15" customHeight="1" x14ac:dyDescent="0.25">
      <c r="A14" s="212"/>
      <c r="B14" s="240" t="s">
        <v>5</v>
      </c>
      <c r="C14" s="230" t="s">
        <v>9</v>
      </c>
      <c r="D14" s="230" t="s">
        <v>8</v>
      </c>
      <c r="E14" s="230" t="s">
        <v>10</v>
      </c>
      <c r="F14" s="230" t="s">
        <v>18</v>
      </c>
      <c r="G14" s="230" t="s">
        <v>11</v>
      </c>
      <c r="H14" s="230" t="s">
        <v>6</v>
      </c>
      <c r="I14" s="230" t="s">
        <v>12</v>
      </c>
      <c r="J14" s="237"/>
      <c r="K14" s="237"/>
      <c r="P14" s="66"/>
    </row>
    <row r="15" spans="1:19" ht="31.5" customHeight="1" thickBot="1" x14ac:dyDescent="0.3">
      <c r="A15" s="235"/>
      <c r="B15" s="241"/>
      <c r="C15" s="231"/>
      <c r="D15" s="231"/>
      <c r="E15" s="231"/>
      <c r="F15" s="231"/>
      <c r="G15" s="231"/>
      <c r="H15" s="231"/>
      <c r="I15" s="231"/>
      <c r="J15" s="238"/>
      <c r="K15" s="238"/>
      <c r="P15" s="66"/>
    </row>
    <row r="16" spans="1:19" ht="15.75" thickTop="1" x14ac:dyDescent="0.25">
      <c r="A16" s="236" t="s">
        <v>15</v>
      </c>
      <c r="B16" s="10">
        <v>600</v>
      </c>
      <c r="C16" s="13">
        <v>0.06</v>
      </c>
      <c r="D16" s="13">
        <v>0.72</v>
      </c>
      <c r="E16" s="13">
        <v>2.88</v>
      </c>
      <c r="F16" s="13">
        <v>2.52</v>
      </c>
      <c r="G16" s="13">
        <v>1.8</v>
      </c>
      <c r="H16" s="10">
        <v>1.67</v>
      </c>
      <c r="I16" s="13">
        <v>0.97</v>
      </c>
      <c r="J16" s="13">
        <v>2.79</v>
      </c>
      <c r="K16" s="10">
        <v>4.54</v>
      </c>
      <c r="P16" s="66"/>
    </row>
    <row r="17" spans="1:16" x14ac:dyDescent="0.25">
      <c r="A17" s="237"/>
      <c r="B17" s="9">
        <v>760</v>
      </c>
      <c r="C17" s="14">
        <v>7.0000000000000007E-2</v>
      </c>
      <c r="D17" s="14">
        <v>0.9</v>
      </c>
      <c r="E17" s="14">
        <v>3.6</v>
      </c>
      <c r="F17" s="14">
        <v>2.7</v>
      </c>
      <c r="G17" s="14">
        <v>2.25</v>
      </c>
      <c r="H17" s="9">
        <v>1.85</v>
      </c>
      <c r="I17" s="14">
        <v>1.04</v>
      </c>
      <c r="J17" s="14">
        <v>4.04</v>
      </c>
      <c r="K17" s="9">
        <v>6.08</v>
      </c>
      <c r="P17" s="66"/>
    </row>
    <row r="18" spans="1:16" x14ac:dyDescent="0.25">
      <c r="A18" s="237"/>
      <c r="B18" s="19">
        <v>910</v>
      </c>
      <c r="C18" s="14">
        <v>0.08</v>
      </c>
      <c r="D18" s="14">
        <v>1.06</v>
      </c>
      <c r="E18" s="14">
        <v>4.24</v>
      </c>
      <c r="F18" s="14">
        <v>2.86</v>
      </c>
      <c r="G18" s="14">
        <v>2.65</v>
      </c>
      <c r="H18" s="9">
        <v>2.0099999999999998</v>
      </c>
      <c r="I18" s="14">
        <v>1.1000000000000001</v>
      </c>
      <c r="J18" s="14">
        <v>5.36</v>
      </c>
      <c r="K18" s="9">
        <v>7.58</v>
      </c>
      <c r="P18" s="66"/>
    </row>
    <row r="19" spans="1:16" x14ac:dyDescent="0.25">
      <c r="A19" s="237"/>
      <c r="B19" s="19">
        <v>1060</v>
      </c>
      <c r="C19" s="14">
        <v>0.09</v>
      </c>
      <c r="D19" s="14">
        <v>1.24</v>
      </c>
      <c r="E19" s="14">
        <v>4.96</v>
      </c>
      <c r="F19" s="14">
        <v>3.04</v>
      </c>
      <c r="G19" s="14">
        <v>3.1</v>
      </c>
      <c r="H19" s="9">
        <v>2.19</v>
      </c>
      <c r="I19" s="14">
        <v>1.18</v>
      </c>
      <c r="J19" s="14">
        <v>7.13</v>
      </c>
      <c r="K19" s="9">
        <v>9.42</v>
      </c>
      <c r="P19" s="66"/>
    </row>
    <row r="20" spans="1:16" ht="15.75" thickBot="1" x14ac:dyDescent="0.3">
      <c r="A20" s="238"/>
      <c r="B20" s="20">
        <v>1220</v>
      </c>
      <c r="C20" s="15">
        <v>0.1</v>
      </c>
      <c r="D20" s="15">
        <v>1.42</v>
      </c>
      <c r="E20" s="15">
        <v>5.68</v>
      </c>
      <c r="F20" s="15">
        <v>3.22</v>
      </c>
      <c r="G20" s="15">
        <v>3.55</v>
      </c>
      <c r="H20" s="11">
        <v>2.37</v>
      </c>
      <c r="I20" s="15">
        <v>1.25</v>
      </c>
      <c r="J20" s="15">
        <v>9.19</v>
      </c>
      <c r="K20" s="11">
        <v>11.43</v>
      </c>
      <c r="P20" s="66"/>
    </row>
    <row r="21" spans="1:16" ht="15.75" thickTop="1" x14ac:dyDescent="0.25">
      <c r="A21" s="236" t="s">
        <v>16</v>
      </c>
      <c r="B21" s="10">
        <v>600</v>
      </c>
      <c r="C21" s="13">
        <v>0.06</v>
      </c>
      <c r="D21" s="13">
        <v>0.72</v>
      </c>
      <c r="E21" s="13">
        <v>4.42</v>
      </c>
      <c r="F21" s="13">
        <v>3.88</v>
      </c>
      <c r="G21" s="13">
        <v>1.95</v>
      </c>
      <c r="H21" s="10">
        <v>1.73</v>
      </c>
      <c r="I21" s="13">
        <v>0.99</v>
      </c>
      <c r="J21" s="13">
        <v>4.32</v>
      </c>
      <c r="K21" s="10">
        <v>7.57</v>
      </c>
      <c r="P21" s="66"/>
    </row>
    <row r="22" spans="1:16" x14ac:dyDescent="0.25">
      <c r="A22" s="237"/>
      <c r="B22" s="9">
        <v>760</v>
      </c>
      <c r="C22" s="14">
        <v>7.0000000000000007E-2</v>
      </c>
      <c r="D22" s="14">
        <v>0.9</v>
      </c>
      <c r="E22" s="14">
        <v>5.0999999999999996</v>
      </c>
      <c r="F22" s="14">
        <v>4.2</v>
      </c>
      <c r="G22" s="14">
        <v>2.25</v>
      </c>
      <c r="H22" s="9">
        <v>1.85</v>
      </c>
      <c r="I22" s="14">
        <v>1.04</v>
      </c>
      <c r="J22" s="14">
        <v>5.47</v>
      </c>
      <c r="K22" s="9">
        <v>9.4499999999999993</v>
      </c>
      <c r="P22" s="66"/>
    </row>
    <row r="23" spans="1:16" x14ac:dyDescent="0.25">
      <c r="A23" s="237"/>
      <c r="B23" s="19">
        <v>910</v>
      </c>
      <c r="C23" s="14">
        <v>0.08</v>
      </c>
      <c r="D23" s="14">
        <v>1.06</v>
      </c>
      <c r="E23" s="14">
        <v>6.01</v>
      </c>
      <c r="F23" s="14">
        <v>4.63</v>
      </c>
      <c r="G23" s="14">
        <v>2.65</v>
      </c>
      <c r="H23" s="9">
        <v>2.0099999999999998</v>
      </c>
      <c r="I23" s="14">
        <v>1.1000000000000001</v>
      </c>
      <c r="J23" s="14">
        <v>7.24</v>
      </c>
      <c r="K23" s="9">
        <v>12.26</v>
      </c>
      <c r="P23" s="66"/>
    </row>
    <row r="24" spans="1:16" x14ac:dyDescent="0.25">
      <c r="A24" s="237"/>
      <c r="B24" s="19">
        <v>1060</v>
      </c>
      <c r="C24" s="14">
        <v>0.09</v>
      </c>
      <c r="D24" s="14">
        <v>1.24</v>
      </c>
      <c r="E24" s="14">
        <v>7.03</v>
      </c>
      <c r="F24" s="14">
        <v>5.1100000000000003</v>
      </c>
      <c r="G24" s="14">
        <v>3.1</v>
      </c>
      <c r="H24" s="9">
        <v>2.19</v>
      </c>
      <c r="I24" s="14">
        <v>1.18</v>
      </c>
      <c r="J24" s="14">
        <v>9.57</v>
      </c>
      <c r="K24" s="9">
        <v>45.83</v>
      </c>
      <c r="P24" s="66"/>
    </row>
    <row r="25" spans="1:16" ht="15.75" thickBot="1" x14ac:dyDescent="0.3">
      <c r="A25" s="238"/>
      <c r="B25" s="20">
        <v>1220</v>
      </c>
      <c r="C25" s="15">
        <v>0.1</v>
      </c>
      <c r="D25" s="15">
        <v>1.42</v>
      </c>
      <c r="E25" s="15">
        <v>8.0500000000000007</v>
      </c>
      <c r="F25" s="15">
        <v>5.59</v>
      </c>
      <c r="G25" s="15">
        <v>3.55</v>
      </c>
      <c r="H25" s="11">
        <v>2.37</v>
      </c>
      <c r="I25" s="15">
        <v>1.25</v>
      </c>
      <c r="J25" s="15">
        <v>12.31</v>
      </c>
      <c r="K25" s="11">
        <v>19.829999999999998</v>
      </c>
      <c r="P25" s="66"/>
    </row>
    <row r="26" spans="1:16" ht="15.75" thickTop="1" x14ac:dyDescent="0.25">
      <c r="A26" s="236" t="s">
        <v>17</v>
      </c>
      <c r="B26" s="10">
        <v>600</v>
      </c>
      <c r="C26" s="13">
        <v>0.06</v>
      </c>
      <c r="D26" s="13">
        <v>0.72</v>
      </c>
      <c r="E26" s="13">
        <v>5.28</v>
      </c>
      <c r="F26" s="13">
        <v>4.92</v>
      </c>
      <c r="G26" s="13">
        <v>1.8</v>
      </c>
      <c r="H26" s="10">
        <v>1.67</v>
      </c>
      <c r="I26" s="13">
        <v>0.97</v>
      </c>
      <c r="J26" s="13">
        <v>4.82</v>
      </c>
      <c r="K26" s="10">
        <v>8.86</v>
      </c>
      <c r="P26" s="66"/>
    </row>
    <row r="27" spans="1:16" x14ac:dyDescent="0.25">
      <c r="A27" s="237"/>
      <c r="B27" s="9">
        <v>760</v>
      </c>
      <c r="C27" s="14">
        <v>7.0000000000000007E-2</v>
      </c>
      <c r="D27" s="14">
        <v>0.9</v>
      </c>
      <c r="E27" s="14">
        <v>6.6</v>
      </c>
      <c r="F27" s="14">
        <v>5.7</v>
      </c>
      <c r="G27" s="14">
        <v>2.25</v>
      </c>
      <c r="H27" s="9">
        <v>1.85</v>
      </c>
      <c r="I27" s="14">
        <v>1.04</v>
      </c>
      <c r="J27" s="14">
        <v>6.9</v>
      </c>
      <c r="K27" s="9">
        <v>12.83</v>
      </c>
      <c r="P27" s="66"/>
    </row>
    <row r="28" spans="1:16" x14ac:dyDescent="0.25">
      <c r="A28" s="237"/>
      <c r="B28" s="19">
        <v>910</v>
      </c>
      <c r="C28" s="14">
        <v>0.08</v>
      </c>
      <c r="D28" s="14">
        <v>1.06</v>
      </c>
      <c r="E28" s="14">
        <v>7.77</v>
      </c>
      <c r="F28" s="14">
        <v>6.39</v>
      </c>
      <c r="G28" s="14">
        <v>2.65</v>
      </c>
      <c r="H28" s="9">
        <v>2.0099999999999998</v>
      </c>
      <c r="I28" s="14">
        <v>1.1000000000000001</v>
      </c>
      <c r="J28" s="14">
        <v>9.11</v>
      </c>
      <c r="K28" s="9">
        <v>16.940000000000001</v>
      </c>
      <c r="P28" s="66"/>
    </row>
    <row r="29" spans="1:16" x14ac:dyDescent="0.25">
      <c r="A29" s="237"/>
      <c r="B29" s="19">
        <v>1060</v>
      </c>
      <c r="C29" s="14">
        <v>0.09</v>
      </c>
      <c r="D29" s="14">
        <v>1.24</v>
      </c>
      <c r="E29" s="14">
        <v>9.09</v>
      </c>
      <c r="F29" s="14">
        <v>7.17</v>
      </c>
      <c r="G29" s="14">
        <v>3.1</v>
      </c>
      <c r="H29" s="9">
        <v>2.19</v>
      </c>
      <c r="I29" s="14">
        <v>1.18</v>
      </c>
      <c r="J29" s="14">
        <v>12.02</v>
      </c>
      <c r="K29" s="9">
        <v>22.24</v>
      </c>
      <c r="P29" s="66"/>
    </row>
    <row r="30" spans="1:16" ht="15.75" thickBot="1" x14ac:dyDescent="0.3">
      <c r="A30" s="239"/>
      <c r="B30" s="20">
        <v>1220</v>
      </c>
      <c r="C30" s="15">
        <v>0.1</v>
      </c>
      <c r="D30" s="15">
        <v>1.42</v>
      </c>
      <c r="E30" s="15">
        <v>10.41</v>
      </c>
      <c r="F30" s="15">
        <v>7.95</v>
      </c>
      <c r="G30" s="15">
        <v>3.55</v>
      </c>
      <c r="H30" s="11">
        <v>2.37</v>
      </c>
      <c r="I30" s="15">
        <v>1.25</v>
      </c>
      <c r="J30" s="15">
        <v>15.42</v>
      </c>
      <c r="K30" s="11">
        <v>28.23</v>
      </c>
      <c r="P30" s="66"/>
    </row>
    <row r="31" spans="1:16" ht="15.75" thickTop="1" x14ac:dyDescent="0.25">
      <c r="A31" s="12"/>
      <c r="P31" s="66"/>
    </row>
    <row r="32" spans="1:16" ht="15.75" thickBot="1" x14ac:dyDescent="0.3">
      <c r="A32" s="17"/>
      <c r="P32" s="66"/>
    </row>
    <row r="33" spans="1:16" ht="16.5" thickTop="1" thickBot="1" x14ac:dyDescent="0.3">
      <c r="A33" s="17"/>
      <c r="M33" s="244" t="s">
        <v>24</v>
      </c>
      <c r="N33" s="244"/>
      <c r="P33" s="66"/>
    </row>
    <row r="34" spans="1:16" ht="17.25" customHeight="1" thickTop="1" thickBot="1" x14ac:dyDescent="0.3">
      <c r="A34" s="245" t="s">
        <v>2</v>
      </c>
      <c r="B34" s="245"/>
      <c r="C34" s="245"/>
      <c r="D34" s="245"/>
      <c r="E34" s="245"/>
      <c r="F34" s="245"/>
      <c r="G34" s="245"/>
      <c r="H34" s="245"/>
      <c r="I34" s="245"/>
      <c r="J34" s="245"/>
      <c r="K34" s="245"/>
      <c r="L34" s="245"/>
      <c r="M34" s="246" t="s">
        <v>13</v>
      </c>
      <c r="N34" s="237" t="s">
        <v>14</v>
      </c>
      <c r="P34" s="66"/>
    </row>
    <row r="35" spans="1:16" ht="24" customHeight="1" thickTop="1" x14ac:dyDescent="0.25">
      <c r="A35" s="242"/>
      <c r="B35" s="243" t="s">
        <v>5</v>
      </c>
      <c r="C35" s="232" t="s">
        <v>9</v>
      </c>
      <c r="D35" s="232" t="s">
        <v>8</v>
      </c>
      <c r="E35" s="232" t="s">
        <v>10</v>
      </c>
      <c r="F35" s="232" t="s">
        <v>18</v>
      </c>
      <c r="G35" s="232" t="s">
        <v>25</v>
      </c>
      <c r="H35" s="232" t="s">
        <v>11</v>
      </c>
      <c r="I35" s="232" t="s">
        <v>6</v>
      </c>
      <c r="J35" s="232" t="s">
        <v>20</v>
      </c>
      <c r="K35" s="233" t="s">
        <v>12</v>
      </c>
      <c r="L35" s="233" t="s">
        <v>21</v>
      </c>
      <c r="M35" s="237"/>
      <c r="N35" s="237"/>
      <c r="P35" s="66"/>
    </row>
    <row r="36" spans="1:16" ht="24" customHeight="1" thickBot="1" x14ac:dyDescent="0.3">
      <c r="A36" s="235"/>
      <c r="B36" s="241"/>
      <c r="C36" s="231"/>
      <c r="D36" s="231"/>
      <c r="E36" s="231"/>
      <c r="F36" s="231"/>
      <c r="G36" s="231"/>
      <c r="H36" s="231"/>
      <c r="I36" s="231"/>
      <c r="J36" s="231"/>
      <c r="K36" s="234"/>
      <c r="L36" s="234"/>
      <c r="M36" s="238"/>
      <c r="N36" s="238"/>
      <c r="P36" s="66"/>
    </row>
    <row r="37" spans="1:16" ht="15.75" thickTop="1" x14ac:dyDescent="0.25">
      <c r="A37" s="236" t="s">
        <v>15</v>
      </c>
      <c r="B37" s="10">
        <v>600</v>
      </c>
      <c r="C37" s="13">
        <v>0.06</v>
      </c>
      <c r="D37" s="13">
        <v>0.72</v>
      </c>
      <c r="E37" s="13">
        <v>1.32</v>
      </c>
      <c r="F37" s="13">
        <v>2.8</v>
      </c>
      <c r="G37" s="13">
        <v>1.55</v>
      </c>
      <c r="H37" s="13">
        <v>1.8</v>
      </c>
      <c r="I37" s="13">
        <v>1.67</v>
      </c>
      <c r="J37" s="10">
        <v>1.32</v>
      </c>
      <c r="K37" s="13">
        <v>0.97</v>
      </c>
      <c r="L37" s="13">
        <v>0.83</v>
      </c>
      <c r="M37" s="13">
        <v>3.22</v>
      </c>
      <c r="N37" s="13">
        <v>3.17</v>
      </c>
      <c r="P37" s="66"/>
    </row>
    <row r="38" spans="1:16" x14ac:dyDescent="0.25">
      <c r="A38" s="237"/>
      <c r="B38" s="9">
        <v>760</v>
      </c>
      <c r="C38" s="14">
        <v>7.0000000000000007E-2</v>
      </c>
      <c r="D38" s="14">
        <v>0.9</v>
      </c>
      <c r="E38" s="14">
        <v>1.5</v>
      </c>
      <c r="F38" s="14">
        <v>3.5</v>
      </c>
      <c r="G38" s="14">
        <v>1.8</v>
      </c>
      <c r="H38" s="14">
        <v>2.25</v>
      </c>
      <c r="I38" s="14">
        <v>1.85</v>
      </c>
      <c r="J38" s="9">
        <v>1.5</v>
      </c>
      <c r="K38" s="14">
        <v>1.04</v>
      </c>
      <c r="L38" s="14">
        <v>0.9</v>
      </c>
      <c r="M38" s="14">
        <v>4.43</v>
      </c>
      <c r="N38" s="14">
        <v>4.95</v>
      </c>
      <c r="P38" s="66"/>
    </row>
    <row r="39" spans="1:16" x14ac:dyDescent="0.25">
      <c r="A39" s="237"/>
      <c r="B39" s="19">
        <v>910</v>
      </c>
      <c r="C39" s="14">
        <v>0.08</v>
      </c>
      <c r="D39" s="14">
        <v>1.06</v>
      </c>
      <c r="E39" s="14">
        <v>1.66</v>
      </c>
      <c r="F39" s="14">
        <v>4.12</v>
      </c>
      <c r="G39" s="14">
        <v>2.02</v>
      </c>
      <c r="H39" s="14">
        <v>2.65</v>
      </c>
      <c r="I39" s="14">
        <v>2.0099999999999998</v>
      </c>
      <c r="J39" s="9">
        <v>1.66</v>
      </c>
      <c r="K39" s="14">
        <v>1.1000000000000001</v>
      </c>
      <c r="L39" s="14">
        <v>0.96</v>
      </c>
      <c r="M39" s="14">
        <v>5.67</v>
      </c>
      <c r="N39" s="14">
        <v>6.86</v>
      </c>
      <c r="P39" s="66"/>
    </row>
    <row r="40" spans="1:16" x14ac:dyDescent="0.25">
      <c r="A40" s="237"/>
      <c r="B40" s="19">
        <v>1060</v>
      </c>
      <c r="C40" s="14">
        <v>0.09</v>
      </c>
      <c r="D40" s="14">
        <v>1.24</v>
      </c>
      <c r="E40" s="14">
        <v>1.84</v>
      </c>
      <c r="F40" s="14">
        <v>4.82</v>
      </c>
      <c r="G40" s="14">
        <v>2.2799999999999998</v>
      </c>
      <c r="H40" s="14">
        <v>3.1</v>
      </c>
      <c r="I40" s="14">
        <v>2.19</v>
      </c>
      <c r="J40" s="9">
        <v>1.84</v>
      </c>
      <c r="K40" s="14">
        <v>1.18</v>
      </c>
      <c r="L40" s="14">
        <v>1.04</v>
      </c>
      <c r="M40" s="14">
        <v>7.28</v>
      </c>
      <c r="N40" s="14">
        <v>9.39</v>
      </c>
      <c r="P40" s="66"/>
    </row>
    <row r="41" spans="1:16" ht="15.75" thickBot="1" x14ac:dyDescent="0.3">
      <c r="A41" s="238"/>
      <c r="B41" s="20">
        <v>1220</v>
      </c>
      <c r="C41" s="15">
        <v>0.1</v>
      </c>
      <c r="D41" s="15">
        <v>1.42</v>
      </c>
      <c r="E41" s="15">
        <v>2.02</v>
      </c>
      <c r="F41" s="15">
        <v>5.52</v>
      </c>
      <c r="G41" s="15">
        <v>2.5299999999999998</v>
      </c>
      <c r="H41" s="15">
        <v>3.55</v>
      </c>
      <c r="I41" s="15">
        <v>2.37</v>
      </c>
      <c r="J41" s="11">
        <v>2.02</v>
      </c>
      <c r="K41" s="15">
        <v>1.25</v>
      </c>
      <c r="L41" s="15">
        <v>1.1100000000000001</v>
      </c>
      <c r="M41" s="15">
        <v>9.1199999999999992</v>
      </c>
      <c r="N41" s="15">
        <v>12.32</v>
      </c>
      <c r="P41" s="66"/>
    </row>
    <row r="42" spans="1:16" ht="15.75" thickTop="1" x14ac:dyDescent="0.25">
      <c r="A42" s="236" t="s">
        <v>16</v>
      </c>
      <c r="B42" s="10">
        <v>600</v>
      </c>
      <c r="C42" s="13">
        <v>0.06</v>
      </c>
      <c r="D42" s="13">
        <v>0.72</v>
      </c>
      <c r="E42" s="13">
        <v>2.52</v>
      </c>
      <c r="F42" s="13">
        <v>4</v>
      </c>
      <c r="G42" s="13">
        <v>2.75</v>
      </c>
      <c r="H42" s="13">
        <v>1.8</v>
      </c>
      <c r="I42" s="13">
        <v>1.67</v>
      </c>
      <c r="J42" s="10">
        <v>1.32</v>
      </c>
      <c r="K42" s="13">
        <v>0.97</v>
      </c>
      <c r="L42" s="13">
        <v>0.83</v>
      </c>
      <c r="M42" s="13">
        <v>3.97</v>
      </c>
      <c r="N42" s="13">
        <v>5.33</v>
      </c>
      <c r="P42" s="66"/>
    </row>
    <row r="43" spans="1:16" x14ac:dyDescent="0.25">
      <c r="A43" s="237"/>
      <c r="B43" s="9">
        <v>760</v>
      </c>
      <c r="C43" s="14">
        <v>7.0000000000000007E-2</v>
      </c>
      <c r="D43" s="14">
        <v>0.9</v>
      </c>
      <c r="E43" s="14">
        <v>3</v>
      </c>
      <c r="F43" s="14">
        <v>5</v>
      </c>
      <c r="G43" s="14">
        <v>3.3</v>
      </c>
      <c r="H43" s="14">
        <v>2.25</v>
      </c>
      <c r="I43" s="14">
        <v>1.85</v>
      </c>
      <c r="J43" s="9">
        <v>1.5</v>
      </c>
      <c r="K43" s="14">
        <v>1.04</v>
      </c>
      <c r="L43" s="14">
        <v>0.9</v>
      </c>
      <c r="M43" s="14">
        <v>5.51</v>
      </c>
      <c r="N43" s="14">
        <v>8.32</v>
      </c>
      <c r="P43" s="66"/>
    </row>
    <row r="44" spans="1:16" x14ac:dyDescent="0.25">
      <c r="A44" s="237"/>
      <c r="B44" s="19">
        <v>910</v>
      </c>
      <c r="C44" s="14">
        <v>0.08</v>
      </c>
      <c r="D44" s="14">
        <v>1.06</v>
      </c>
      <c r="E44" s="14">
        <v>3.43</v>
      </c>
      <c r="F44" s="14">
        <v>5.89</v>
      </c>
      <c r="G44" s="14">
        <v>3.79</v>
      </c>
      <c r="H44" s="14">
        <v>2.65</v>
      </c>
      <c r="I44" s="14">
        <v>2.0099999999999998</v>
      </c>
      <c r="J44" s="9">
        <v>1.66</v>
      </c>
      <c r="K44" s="14">
        <v>1.1000000000000001</v>
      </c>
      <c r="L44" s="14">
        <v>0.96</v>
      </c>
      <c r="M44" s="14">
        <v>7.11</v>
      </c>
      <c r="N44" s="14">
        <v>11.55</v>
      </c>
      <c r="P44" s="66"/>
    </row>
    <row r="45" spans="1:16" x14ac:dyDescent="0.25">
      <c r="A45" s="237"/>
      <c r="B45" s="19">
        <v>1060</v>
      </c>
      <c r="C45" s="14">
        <v>0.09</v>
      </c>
      <c r="D45" s="14">
        <v>1.24</v>
      </c>
      <c r="E45" s="14">
        <v>3.91</v>
      </c>
      <c r="F45" s="14">
        <v>6.89</v>
      </c>
      <c r="G45" s="14">
        <v>4.34</v>
      </c>
      <c r="H45" s="14">
        <v>3.1</v>
      </c>
      <c r="I45" s="14">
        <v>2.19</v>
      </c>
      <c r="J45" s="9">
        <v>1.84</v>
      </c>
      <c r="K45" s="14">
        <v>1.18</v>
      </c>
      <c r="L45" s="14">
        <v>1.04</v>
      </c>
      <c r="M45" s="14">
        <v>9.1999999999999993</v>
      </c>
      <c r="N45" s="14">
        <v>15.8</v>
      </c>
      <c r="P45" s="66"/>
    </row>
    <row r="46" spans="1:16" ht="15.75" thickBot="1" x14ac:dyDescent="0.3">
      <c r="A46" s="238"/>
      <c r="B46" s="20">
        <v>1220</v>
      </c>
      <c r="C46" s="15">
        <v>0.1</v>
      </c>
      <c r="D46" s="15">
        <v>1.42</v>
      </c>
      <c r="E46" s="15">
        <v>4.3899999999999997</v>
      </c>
      <c r="F46" s="15">
        <v>7.89</v>
      </c>
      <c r="G46" s="15">
        <v>4.8899999999999997</v>
      </c>
      <c r="H46" s="15">
        <v>3.55</v>
      </c>
      <c r="I46" s="15">
        <v>2.37</v>
      </c>
      <c r="J46" s="11">
        <v>2.02</v>
      </c>
      <c r="K46" s="15">
        <v>1.25</v>
      </c>
      <c r="L46" s="15">
        <v>1.1100000000000001</v>
      </c>
      <c r="M46" s="15">
        <v>11.59</v>
      </c>
      <c r="N46" s="15">
        <v>20.72</v>
      </c>
      <c r="P46" s="66"/>
    </row>
    <row r="47" spans="1:16" ht="15.75" thickTop="1" x14ac:dyDescent="0.25">
      <c r="A47" s="236" t="s">
        <v>17</v>
      </c>
      <c r="B47" s="10">
        <v>600</v>
      </c>
      <c r="C47" s="13">
        <v>0.06</v>
      </c>
      <c r="D47" s="13">
        <v>0.72</v>
      </c>
      <c r="E47" s="13">
        <v>3.72</v>
      </c>
      <c r="F47" s="13">
        <v>5.2</v>
      </c>
      <c r="G47" s="13">
        <v>3.95</v>
      </c>
      <c r="H47" s="13">
        <v>1.8</v>
      </c>
      <c r="I47" s="13">
        <v>1.67</v>
      </c>
      <c r="J47" s="10">
        <v>1.32</v>
      </c>
      <c r="K47" s="13">
        <v>0.97</v>
      </c>
      <c r="L47" s="13">
        <v>0.83</v>
      </c>
      <c r="M47" s="13">
        <v>4.71</v>
      </c>
      <c r="N47" s="13">
        <v>7.49</v>
      </c>
      <c r="P47" s="66"/>
    </row>
    <row r="48" spans="1:16" x14ac:dyDescent="0.25">
      <c r="A48" s="237"/>
      <c r="B48" s="9">
        <v>760</v>
      </c>
      <c r="C48" s="14">
        <v>7.0000000000000007E-2</v>
      </c>
      <c r="D48" s="14">
        <v>0.9</v>
      </c>
      <c r="E48" s="14">
        <v>4.5</v>
      </c>
      <c r="F48" s="14">
        <v>6.5</v>
      </c>
      <c r="G48" s="14">
        <v>4.8</v>
      </c>
      <c r="H48" s="14">
        <v>2.25</v>
      </c>
      <c r="I48" s="14">
        <v>1.85</v>
      </c>
      <c r="J48" s="9">
        <v>1.5</v>
      </c>
      <c r="K48" s="14">
        <v>1.04</v>
      </c>
      <c r="L48" s="14">
        <v>0.9</v>
      </c>
      <c r="M48" s="14">
        <v>6.59</v>
      </c>
      <c r="N48" s="14">
        <v>11.7</v>
      </c>
      <c r="P48" s="66"/>
    </row>
    <row r="49" spans="1:16" x14ac:dyDescent="0.25">
      <c r="A49" s="237"/>
      <c r="B49" s="19">
        <v>910</v>
      </c>
      <c r="C49" s="14">
        <v>0.08</v>
      </c>
      <c r="D49" s="14">
        <v>1.06</v>
      </c>
      <c r="E49" s="14">
        <v>5.19</v>
      </c>
      <c r="F49" s="14">
        <v>7.65</v>
      </c>
      <c r="G49" s="14">
        <v>5.56</v>
      </c>
      <c r="H49" s="14">
        <v>2.65</v>
      </c>
      <c r="I49" s="14">
        <v>2.0099999999999998</v>
      </c>
      <c r="J49" s="9">
        <v>1.66</v>
      </c>
      <c r="K49" s="14">
        <v>1.1000000000000001</v>
      </c>
      <c r="L49" s="14">
        <v>0.96</v>
      </c>
      <c r="M49" s="14">
        <v>8.5500000000000007</v>
      </c>
      <c r="N49" s="14">
        <v>16.23</v>
      </c>
      <c r="P49" s="66"/>
    </row>
    <row r="50" spans="1:16" x14ac:dyDescent="0.25">
      <c r="A50" s="237"/>
      <c r="B50" s="19">
        <v>1060</v>
      </c>
      <c r="C50" s="14">
        <v>0.09</v>
      </c>
      <c r="D50" s="14">
        <v>1.24</v>
      </c>
      <c r="E50" s="14">
        <v>5.97</v>
      </c>
      <c r="F50" s="14">
        <v>8.9499999999999993</v>
      </c>
      <c r="G50" s="14">
        <v>6.41</v>
      </c>
      <c r="H50" s="14">
        <v>3.1</v>
      </c>
      <c r="I50" s="14">
        <v>2.19</v>
      </c>
      <c r="J50" s="9">
        <v>1.84</v>
      </c>
      <c r="K50" s="14">
        <v>1.18</v>
      </c>
      <c r="L50" s="14">
        <v>1.04</v>
      </c>
      <c r="M50" s="14">
        <v>11.11</v>
      </c>
      <c r="N50" s="14">
        <v>22.21</v>
      </c>
      <c r="P50" s="66"/>
    </row>
    <row r="51" spans="1:16" ht="15.75" thickBot="1" x14ac:dyDescent="0.3">
      <c r="A51" s="239"/>
      <c r="B51" s="20">
        <v>1220</v>
      </c>
      <c r="C51" s="15">
        <v>0.1</v>
      </c>
      <c r="D51" s="15">
        <v>1.42</v>
      </c>
      <c r="E51" s="15">
        <v>6.75</v>
      </c>
      <c r="F51" s="15">
        <v>10.25</v>
      </c>
      <c r="G51" s="15">
        <v>7.26</v>
      </c>
      <c r="H51" s="15">
        <v>3.55</v>
      </c>
      <c r="I51" s="15">
        <v>2.37</v>
      </c>
      <c r="J51" s="11">
        <v>2.02</v>
      </c>
      <c r="K51" s="15">
        <v>1.25</v>
      </c>
      <c r="L51" s="15">
        <v>1.1100000000000001</v>
      </c>
      <c r="M51" s="15">
        <v>14.08</v>
      </c>
      <c r="N51" s="15">
        <v>29.12</v>
      </c>
      <c r="P51" s="66"/>
    </row>
    <row r="52" spans="1:16" ht="15.75" thickTop="1" x14ac:dyDescent="0.25">
      <c r="A52" s="12"/>
      <c r="P52" s="66"/>
    </row>
    <row r="53" spans="1:16" ht="15.75" thickBot="1" x14ac:dyDescent="0.3">
      <c r="A53" s="17"/>
      <c r="P53" s="66"/>
    </row>
    <row r="54" spans="1:16" ht="16.5" thickTop="1" thickBot="1" x14ac:dyDescent="0.3">
      <c r="A54" s="17"/>
      <c r="N54" s="244" t="s">
        <v>24</v>
      </c>
      <c r="O54" s="244"/>
      <c r="P54" s="66"/>
    </row>
    <row r="55" spans="1:16" ht="15.75" customHeight="1" thickTop="1" thickBot="1" x14ac:dyDescent="0.3">
      <c r="A55" s="245" t="s">
        <v>4</v>
      </c>
      <c r="B55" s="245"/>
      <c r="C55" s="245"/>
      <c r="D55" s="245"/>
      <c r="E55" s="245"/>
      <c r="F55" s="245"/>
      <c r="G55" s="245"/>
      <c r="H55" s="245"/>
      <c r="I55" s="245"/>
      <c r="J55" s="245"/>
      <c r="K55" s="245"/>
      <c r="L55" s="245"/>
      <c r="M55" s="245"/>
      <c r="N55" s="246" t="s">
        <v>13</v>
      </c>
      <c r="O55" s="237" t="s">
        <v>14</v>
      </c>
      <c r="P55" s="66"/>
    </row>
    <row r="56" spans="1:16" ht="22.5" customHeight="1" thickTop="1" x14ac:dyDescent="0.25">
      <c r="A56" s="242"/>
      <c r="B56" s="243" t="s">
        <v>5</v>
      </c>
      <c r="C56" s="232" t="s">
        <v>9</v>
      </c>
      <c r="D56" s="232" t="s">
        <v>8</v>
      </c>
      <c r="E56" s="232" t="s">
        <v>10</v>
      </c>
      <c r="F56" s="232" t="s">
        <v>18</v>
      </c>
      <c r="G56" s="232" t="s">
        <v>25</v>
      </c>
      <c r="H56" s="232" t="s">
        <v>11</v>
      </c>
      <c r="I56" s="232" t="s">
        <v>19</v>
      </c>
      <c r="J56" s="232" t="s">
        <v>6</v>
      </c>
      <c r="K56" s="232" t="s">
        <v>20</v>
      </c>
      <c r="L56" s="232" t="s">
        <v>12</v>
      </c>
      <c r="M56" s="232" t="s">
        <v>21</v>
      </c>
      <c r="N56" s="237"/>
      <c r="O56" s="237"/>
      <c r="P56" s="66"/>
    </row>
    <row r="57" spans="1:16" ht="22.5" customHeight="1" thickBot="1" x14ac:dyDescent="0.3">
      <c r="A57" s="235"/>
      <c r="B57" s="241"/>
      <c r="C57" s="231"/>
      <c r="D57" s="231"/>
      <c r="E57" s="231"/>
      <c r="F57" s="231"/>
      <c r="G57" s="231"/>
      <c r="H57" s="231"/>
      <c r="I57" s="231"/>
      <c r="J57" s="231"/>
      <c r="K57" s="231"/>
      <c r="L57" s="231"/>
      <c r="M57" s="231"/>
      <c r="N57" s="238"/>
      <c r="O57" s="238"/>
      <c r="P57" s="66"/>
    </row>
    <row r="58" spans="1:16" ht="15.75" thickTop="1" x14ac:dyDescent="0.25">
      <c r="A58" s="236" t="s">
        <v>15</v>
      </c>
      <c r="B58" s="10">
        <v>600</v>
      </c>
      <c r="C58" s="13">
        <v>0.06</v>
      </c>
      <c r="D58" s="13">
        <v>0.72</v>
      </c>
      <c r="E58" s="13">
        <v>2.63</v>
      </c>
      <c r="F58" s="13">
        <v>1.8</v>
      </c>
      <c r="G58" s="13">
        <v>1.62</v>
      </c>
      <c r="H58" s="13">
        <v>2.69</v>
      </c>
      <c r="I58" s="13">
        <v>1.72</v>
      </c>
      <c r="J58" s="13">
        <v>1.67</v>
      </c>
      <c r="K58" s="10">
        <v>1.32</v>
      </c>
      <c r="L58" s="13">
        <v>0.97</v>
      </c>
      <c r="M58" s="13">
        <v>0.83</v>
      </c>
      <c r="N58" s="14">
        <v>3.73</v>
      </c>
      <c r="O58" s="14">
        <v>2.2999999999999998</v>
      </c>
      <c r="P58" s="66"/>
    </row>
    <row r="59" spans="1:16" x14ac:dyDescent="0.25">
      <c r="A59" s="237"/>
      <c r="B59" s="9">
        <v>760</v>
      </c>
      <c r="C59" s="14">
        <v>7.0000000000000007E-2</v>
      </c>
      <c r="D59" s="14">
        <v>0.9</v>
      </c>
      <c r="E59" s="14">
        <v>3.15</v>
      </c>
      <c r="F59" s="14">
        <v>2.25</v>
      </c>
      <c r="G59" s="14">
        <v>1.8</v>
      </c>
      <c r="H59" s="14">
        <v>2.94</v>
      </c>
      <c r="I59" s="14">
        <v>1.9</v>
      </c>
      <c r="J59" s="14">
        <v>1.85</v>
      </c>
      <c r="K59" s="9">
        <v>1.5</v>
      </c>
      <c r="L59" s="14">
        <v>1.04</v>
      </c>
      <c r="M59" s="14">
        <v>0.9</v>
      </c>
      <c r="N59" s="14">
        <v>5.0999999999999996</v>
      </c>
      <c r="O59" s="14">
        <v>2.88</v>
      </c>
      <c r="P59" s="66"/>
    </row>
    <row r="60" spans="1:16" x14ac:dyDescent="0.25">
      <c r="A60" s="237"/>
      <c r="B60" s="19">
        <v>910</v>
      </c>
      <c r="C60" s="14">
        <v>0.08</v>
      </c>
      <c r="D60" s="14">
        <v>1.06</v>
      </c>
      <c r="E60" s="14">
        <v>3.61</v>
      </c>
      <c r="F60" s="14">
        <v>2.65</v>
      </c>
      <c r="G60" s="14">
        <v>1.96</v>
      </c>
      <c r="H60" s="14">
        <v>3.16</v>
      </c>
      <c r="I60" s="14">
        <v>2.06</v>
      </c>
      <c r="J60" s="14">
        <v>2.0099999999999998</v>
      </c>
      <c r="K60" s="9">
        <v>1.66</v>
      </c>
      <c r="L60" s="14">
        <v>1.1000000000000001</v>
      </c>
      <c r="M60" s="14">
        <v>0.96</v>
      </c>
      <c r="N60" s="14">
        <v>6.54</v>
      </c>
      <c r="O60" s="14">
        <v>3.45</v>
      </c>
      <c r="P60" s="66"/>
    </row>
    <row r="61" spans="1:16" x14ac:dyDescent="0.25">
      <c r="A61" s="237"/>
      <c r="B61" s="19">
        <v>1060</v>
      </c>
      <c r="C61" s="14">
        <v>0.09</v>
      </c>
      <c r="D61" s="14">
        <v>1.24</v>
      </c>
      <c r="E61" s="14">
        <v>4.1399999999999997</v>
      </c>
      <c r="F61" s="14">
        <v>3.1</v>
      </c>
      <c r="G61" s="14">
        <v>2.14</v>
      </c>
      <c r="H61" s="14">
        <v>3.42</v>
      </c>
      <c r="I61" s="14">
        <v>2.2400000000000002</v>
      </c>
      <c r="J61" s="14">
        <v>2.19</v>
      </c>
      <c r="K61" s="9">
        <v>1.84</v>
      </c>
      <c r="L61" s="14">
        <v>1.18</v>
      </c>
      <c r="M61" s="14">
        <v>1.04</v>
      </c>
      <c r="N61" s="14">
        <v>8.43</v>
      </c>
      <c r="O61" s="14">
        <v>4.1500000000000004</v>
      </c>
      <c r="P61" s="66"/>
    </row>
    <row r="62" spans="1:16" ht="15.75" thickBot="1" x14ac:dyDescent="0.3">
      <c r="A62" s="238"/>
      <c r="B62" s="20">
        <v>1220</v>
      </c>
      <c r="C62" s="15">
        <v>0.1</v>
      </c>
      <c r="D62" s="15">
        <v>1.42</v>
      </c>
      <c r="E62" s="15">
        <v>4.66</v>
      </c>
      <c r="F62" s="15">
        <v>3.55</v>
      </c>
      <c r="G62" s="15">
        <v>2.3199999999999998</v>
      </c>
      <c r="H62" s="15">
        <v>3.67</v>
      </c>
      <c r="I62" s="15">
        <v>2.42</v>
      </c>
      <c r="J62" s="15">
        <v>2.37</v>
      </c>
      <c r="K62" s="11">
        <v>2.02</v>
      </c>
      <c r="L62" s="15">
        <v>1.25</v>
      </c>
      <c r="M62" s="15">
        <v>1.1000000000000001</v>
      </c>
      <c r="N62" s="15">
        <v>10.63</v>
      </c>
      <c r="O62" s="15">
        <v>4.92</v>
      </c>
      <c r="P62" s="66"/>
    </row>
    <row r="63" spans="1:16" ht="15.75" thickTop="1" x14ac:dyDescent="0.25">
      <c r="A63" s="236" t="s">
        <v>16</v>
      </c>
      <c r="B63" s="10">
        <v>600</v>
      </c>
      <c r="C63" s="13">
        <v>0.06</v>
      </c>
      <c r="D63" s="13">
        <v>0.72</v>
      </c>
      <c r="E63" s="13">
        <v>3.83</v>
      </c>
      <c r="F63" s="13">
        <v>3</v>
      </c>
      <c r="G63" s="13">
        <v>2.82</v>
      </c>
      <c r="H63" s="13">
        <v>2.69</v>
      </c>
      <c r="I63" s="13">
        <v>1.72</v>
      </c>
      <c r="J63" s="13">
        <v>1.67</v>
      </c>
      <c r="K63" s="10">
        <v>1.32</v>
      </c>
      <c r="L63" s="13">
        <v>0.97</v>
      </c>
      <c r="M63" s="13">
        <v>0.83</v>
      </c>
      <c r="N63" s="13">
        <v>4.74</v>
      </c>
      <c r="O63" s="13">
        <v>4</v>
      </c>
      <c r="P63" s="66"/>
    </row>
    <row r="64" spans="1:16" x14ac:dyDescent="0.25">
      <c r="A64" s="237"/>
      <c r="B64" s="9">
        <v>760</v>
      </c>
      <c r="C64" s="14">
        <v>7.0000000000000007E-2</v>
      </c>
      <c r="D64" s="14">
        <v>0.9</v>
      </c>
      <c r="E64" s="14">
        <v>4.6500000000000004</v>
      </c>
      <c r="F64" s="14">
        <v>3.75</v>
      </c>
      <c r="G64" s="14">
        <v>3.3</v>
      </c>
      <c r="H64" s="14">
        <v>2.94</v>
      </c>
      <c r="I64" s="14">
        <v>1.9</v>
      </c>
      <c r="J64" s="14">
        <v>1.85</v>
      </c>
      <c r="K64" s="9">
        <v>1.5</v>
      </c>
      <c r="L64" s="14">
        <v>1.04</v>
      </c>
      <c r="M64" s="14">
        <v>0.9</v>
      </c>
      <c r="N64" s="14">
        <v>6.53</v>
      </c>
      <c r="O64" s="14">
        <v>5.28</v>
      </c>
      <c r="P64" s="66"/>
    </row>
    <row r="65" spans="1:16" x14ac:dyDescent="0.25">
      <c r="A65" s="237"/>
      <c r="B65" s="19">
        <v>910</v>
      </c>
      <c r="C65" s="14">
        <v>0.08</v>
      </c>
      <c r="D65" s="14">
        <v>1.06</v>
      </c>
      <c r="E65" s="14">
        <v>5.38</v>
      </c>
      <c r="F65" s="14">
        <v>4.42</v>
      </c>
      <c r="G65" s="14">
        <v>3.73</v>
      </c>
      <c r="H65" s="14">
        <v>3.16</v>
      </c>
      <c r="I65" s="14">
        <v>2.06</v>
      </c>
      <c r="J65" s="14">
        <v>2.0099999999999998</v>
      </c>
      <c r="K65" s="9">
        <v>1.66</v>
      </c>
      <c r="L65" s="14">
        <v>1.1000000000000001</v>
      </c>
      <c r="M65" s="14">
        <v>0.96</v>
      </c>
      <c r="N65" s="14">
        <v>8.41</v>
      </c>
      <c r="O65" s="14">
        <v>6.56</v>
      </c>
      <c r="P65" s="66"/>
    </row>
    <row r="66" spans="1:16" x14ac:dyDescent="0.25">
      <c r="A66" s="237"/>
      <c r="B66" s="19">
        <v>1060</v>
      </c>
      <c r="C66" s="14">
        <v>0.09</v>
      </c>
      <c r="D66" s="14">
        <v>1.24</v>
      </c>
      <c r="E66" s="14">
        <v>6.2</v>
      </c>
      <c r="F66" s="14">
        <v>5.17</v>
      </c>
      <c r="G66" s="14">
        <v>4.21</v>
      </c>
      <c r="H66" s="14">
        <v>3.42</v>
      </c>
      <c r="I66" s="14">
        <v>2.2400000000000002</v>
      </c>
      <c r="J66" s="14">
        <v>2.19</v>
      </c>
      <c r="K66" s="9">
        <v>1.84</v>
      </c>
      <c r="L66" s="14">
        <v>1.18</v>
      </c>
      <c r="M66" s="14">
        <v>1.04</v>
      </c>
      <c r="N66" s="14">
        <v>10.88</v>
      </c>
      <c r="O66" s="14">
        <v>8.16</v>
      </c>
      <c r="P66" s="66"/>
    </row>
    <row r="67" spans="1:16" ht="15.75" thickBot="1" x14ac:dyDescent="0.3">
      <c r="A67" s="238"/>
      <c r="B67" s="20">
        <v>1220</v>
      </c>
      <c r="C67" s="15">
        <v>0.1</v>
      </c>
      <c r="D67" s="15">
        <v>1.42</v>
      </c>
      <c r="E67" s="15">
        <v>7.02</v>
      </c>
      <c r="F67" s="15">
        <v>5.92</v>
      </c>
      <c r="G67" s="15">
        <v>4.6900000000000004</v>
      </c>
      <c r="H67" s="15">
        <v>3.67</v>
      </c>
      <c r="I67" s="15">
        <v>2.42</v>
      </c>
      <c r="J67" s="15">
        <v>2.37</v>
      </c>
      <c r="K67" s="11">
        <v>2.02</v>
      </c>
      <c r="L67" s="15">
        <v>1.25</v>
      </c>
      <c r="M67" s="15">
        <v>1.1100000000000001</v>
      </c>
      <c r="N67" s="15">
        <v>13.75</v>
      </c>
      <c r="O67" s="15">
        <v>9.94</v>
      </c>
      <c r="P67" s="66"/>
    </row>
    <row r="68" spans="1:16" ht="15.75" customHeight="1" thickTop="1" x14ac:dyDescent="0.25">
      <c r="A68" s="236" t="s">
        <v>17</v>
      </c>
      <c r="B68" s="10">
        <v>600</v>
      </c>
      <c r="C68" s="13">
        <v>0.06</v>
      </c>
      <c r="D68" s="13">
        <v>0.72</v>
      </c>
      <c r="E68" s="13">
        <v>5.03</v>
      </c>
      <c r="F68" s="13">
        <v>4.2</v>
      </c>
      <c r="G68" s="13">
        <v>4.0199999999999996</v>
      </c>
      <c r="H68" s="13">
        <v>2.69</v>
      </c>
      <c r="I68" s="13">
        <v>1.72</v>
      </c>
      <c r="J68" s="13">
        <v>1.67</v>
      </c>
      <c r="K68" s="10">
        <v>1.32</v>
      </c>
      <c r="L68" s="13">
        <v>0.97</v>
      </c>
      <c r="M68" s="13">
        <v>0.83</v>
      </c>
      <c r="N68" s="13">
        <v>5.75</v>
      </c>
      <c r="O68" s="13">
        <v>5.71</v>
      </c>
      <c r="P68" s="66"/>
    </row>
    <row r="69" spans="1:16" x14ac:dyDescent="0.25">
      <c r="A69" s="237"/>
      <c r="B69" s="9">
        <v>760</v>
      </c>
      <c r="C69" s="14">
        <v>7.0000000000000007E-2</v>
      </c>
      <c r="D69" s="14">
        <v>0.9</v>
      </c>
      <c r="E69" s="14">
        <v>6.15</v>
      </c>
      <c r="F69" s="14">
        <v>5.25</v>
      </c>
      <c r="G69" s="14">
        <v>4.8</v>
      </c>
      <c r="H69" s="14">
        <v>2.94</v>
      </c>
      <c r="I69" s="14">
        <v>1.9</v>
      </c>
      <c r="J69" s="14">
        <v>1.85</v>
      </c>
      <c r="K69" s="9">
        <v>1.5</v>
      </c>
      <c r="L69" s="14">
        <v>1.04</v>
      </c>
      <c r="M69" s="14">
        <v>0.9</v>
      </c>
      <c r="N69" s="14">
        <v>7.96</v>
      </c>
      <c r="O69" s="14">
        <v>7.68</v>
      </c>
      <c r="P69" s="66"/>
    </row>
    <row r="70" spans="1:16" x14ac:dyDescent="0.25">
      <c r="A70" s="237"/>
      <c r="B70" s="19">
        <v>910</v>
      </c>
      <c r="C70" s="14">
        <v>0.08</v>
      </c>
      <c r="D70" s="14">
        <v>1.06</v>
      </c>
      <c r="E70" s="14">
        <v>7.15</v>
      </c>
      <c r="F70" s="14">
        <v>6.18</v>
      </c>
      <c r="G70" s="14">
        <v>5.49</v>
      </c>
      <c r="H70" s="14">
        <v>3.16</v>
      </c>
      <c r="I70" s="14">
        <v>2.06</v>
      </c>
      <c r="J70" s="14">
        <v>2.0099999999999998</v>
      </c>
      <c r="K70" s="9">
        <v>1.66</v>
      </c>
      <c r="L70" s="14">
        <v>1.1000000000000001</v>
      </c>
      <c r="M70" s="14">
        <v>0.96</v>
      </c>
      <c r="N70" s="14">
        <v>10.29</v>
      </c>
      <c r="O70" s="14">
        <v>9.67</v>
      </c>
      <c r="P70" s="66"/>
    </row>
    <row r="71" spans="1:16" x14ac:dyDescent="0.25">
      <c r="A71" s="237"/>
      <c r="B71" s="19">
        <v>1060</v>
      </c>
      <c r="C71" s="14">
        <v>0.09</v>
      </c>
      <c r="D71" s="14">
        <v>1.24</v>
      </c>
      <c r="E71" s="14">
        <v>8.27</v>
      </c>
      <c r="F71" s="14">
        <v>7.23</v>
      </c>
      <c r="G71" s="14">
        <v>6.27</v>
      </c>
      <c r="H71" s="14">
        <v>3.42</v>
      </c>
      <c r="I71" s="14">
        <v>2.2400000000000002</v>
      </c>
      <c r="J71" s="14">
        <v>2.19</v>
      </c>
      <c r="K71" s="9">
        <v>1.84</v>
      </c>
      <c r="L71" s="14">
        <v>1.18</v>
      </c>
      <c r="M71" s="14">
        <v>1.04</v>
      </c>
      <c r="N71" s="14">
        <v>13.33</v>
      </c>
      <c r="O71" s="14">
        <v>12.17</v>
      </c>
      <c r="P71" s="66"/>
    </row>
    <row r="72" spans="1:16" ht="15.75" thickBot="1" x14ac:dyDescent="0.3">
      <c r="A72" s="238"/>
      <c r="B72" s="20">
        <v>1220</v>
      </c>
      <c r="C72" s="15">
        <v>0.1</v>
      </c>
      <c r="D72" s="15">
        <v>1.42</v>
      </c>
      <c r="E72" s="15">
        <v>9.39</v>
      </c>
      <c r="F72" s="15">
        <v>8.2799999999999994</v>
      </c>
      <c r="G72" s="15">
        <v>7.05</v>
      </c>
      <c r="H72" s="15">
        <v>3.67</v>
      </c>
      <c r="I72" s="15">
        <v>2.42</v>
      </c>
      <c r="J72" s="15">
        <v>2.37</v>
      </c>
      <c r="K72" s="11">
        <v>2.02</v>
      </c>
      <c r="L72" s="15">
        <v>1.25</v>
      </c>
      <c r="M72" s="15">
        <v>1.1100000000000001</v>
      </c>
      <c r="N72" s="15">
        <v>16.86</v>
      </c>
      <c r="O72" s="15">
        <v>14.95</v>
      </c>
      <c r="P72" s="66"/>
    </row>
    <row r="73" spans="1:16" ht="15.75" thickTop="1" x14ac:dyDescent="0.25">
      <c r="A73" s="16"/>
      <c r="B73" s="17"/>
      <c r="C73" s="18"/>
      <c r="D73" s="18"/>
      <c r="E73" s="18"/>
      <c r="F73" s="18"/>
      <c r="G73" s="18"/>
      <c r="H73" s="17"/>
      <c r="I73" s="18"/>
      <c r="J73" s="18"/>
      <c r="K73" s="17"/>
      <c r="P73" s="66"/>
    </row>
    <row r="74" spans="1:16" ht="15.75" thickBot="1" x14ac:dyDescent="0.3">
      <c r="B74" s="17"/>
      <c r="C74" s="18"/>
      <c r="D74" s="18"/>
      <c r="E74" s="18"/>
      <c r="F74" s="18"/>
      <c r="G74" s="18"/>
      <c r="H74" s="17"/>
      <c r="I74" s="18"/>
      <c r="J74" s="18"/>
      <c r="K74" s="17"/>
      <c r="P74" s="66"/>
    </row>
    <row r="75" spans="1:16" ht="16.5" thickTop="1" thickBot="1" x14ac:dyDescent="0.3">
      <c r="N75" s="244" t="s">
        <v>24</v>
      </c>
      <c r="O75" s="244"/>
      <c r="P75" s="66"/>
    </row>
    <row r="76" spans="1:16" ht="15.75" customHeight="1" thickTop="1" thickBot="1" x14ac:dyDescent="0.3">
      <c r="A76" s="245" t="s">
        <v>23</v>
      </c>
      <c r="B76" s="245"/>
      <c r="C76" s="245"/>
      <c r="D76" s="245"/>
      <c r="E76" s="245"/>
      <c r="F76" s="245"/>
      <c r="G76" s="245"/>
      <c r="H76" s="245"/>
      <c r="I76" s="245"/>
      <c r="J76" s="245"/>
      <c r="K76" s="245"/>
      <c r="L76" s="245"/>
      <c r="M76" s="245"/>
      <c r="N76" s="246" t="s">
        <v>13</v>
      </c>
      <c r="O76" s="237" t="s">
        <v>14</v>
      </c>
      <c r="P76" s="66"/>
    </row>
    <row r="77" spans="1:16" ht="24" customHeight="1" thickTop="1" x14ac:dyDescent="0.25">
      <c r="A77" s="242"/>
      <c r="B77" s="243" t="s">
        <v>5</v>
      </c>
      <c r="C77" s="232" t="s">
        <v>9</v>
      </c>
      <c r="D77" s="232" t="s">
        <v>8</v>
      </c>
      <c r="E77" s="232" t="s">
        <v>10</v>
      </c>
      <c r="F77" s="232" t="s">
        <v>18</v>
      </c>
      <c r="G77" s="232" t="s">
        <v>11</v>
      </c>
      <c r="H77" s="232" t="s">
        <v>19</v>
      </c>
      <c r="I77" s="232" t="s">
        <v>6</v>
      </c>
      <c r="J77" s="232" t="s">
        <v>20</v>
      </c>
      <c r="K77" s="232" t="s">
        <v>22</v>
      </c>
      <c r="L77" s="232" t="s">
        <v>12</v>
      </c>
      <c r="M77" s="232" t="s">
        <v>21</v>
      </c>
      <c r="N77" s="237"/>
      <c r="O77" s="237"/>
      <c r="P77" s="66"/>
    </row>
    <row r="78" spans="1:16" ht="24" customHeight="1" thickBot="1" x14ac:dyDescent="0.3">
      <c r="A78" s="235"/>
      <c r="B78" s="241"/>
      <c r="C78" s="231"/>
      <c r="D78" s="231"/>
      <c r="E78" s="231"/>
      <c r="F78" s="231"/>
      <c r="G78" s="231"/>
      <c r="H78" s="231"/>
      <c r="I78" s="231"/>
      <c r="J78" s="231"/>
      <c r="K78" s="231"/>
      <c r="L78" s="231"/>
      <c r="M78" s="231"/>
      <c r="N78" s="238"/>
      <c r="O78" s="238"/>
      <c r="P78" s="66"/>
    </row>
    <row r="79" spans="1:16" ht="15.75" thickTop="1" x14ac:dyDescent="0.25">
      <c r="A79" s="236" t="s">
        <v>15</v>
      </c>
      <c r="B79" s="10">
        <v>600</v>
      </c>
      <c r="C79" s="13">
        <v>0.06</v>
      </c>
      <c r="D79" s="13">
        <v>0.72</v>
      </c>
      <c r="E79" s="13">
        <v>2.9</v>
      </c>
      <c r="F79" s="13">
        <v>1.92</v>
      </c>
      <c r="G79" s="13">
        <v>1.5</v>
      </c>
      <c r="H79" s="13">
        <v>3.44</v>
      </c>
      <c r="I79" s="13">
        <v>1.67</v>
      </c>
      <c r="J79" s="13">
        <v>1.22</v>
      </c>
      <c r="K79" s="13">
        <v>0.92</v>
      </c>
      <c r="L79" s="13">
        <v>0.97</v>
      </c>
      <c r="M79" s="13">
        <v>0.79</v>
      </c>
      <c r="N79" s="13">
        <v>4.4000000000000004</v>
      </c>
      <c r="O79" s="13">
        <v>1.98</v>
      </c>
      <c r="P79" s="66"/>
    </row>
    <row r="80" spans="1:16" x14ac:dyDescent="0.25">
      <c r="A80" s="237"/>
      <c r="B80" s="9">
        <v>760</v>
      </c>
      <c r="C80" s="14">
        <v>7.0000000000000007E-2</v>
      </c>
      <c r="D80" s="14">
        <v>0.9</v>
      </c>
      <c r="E80" s="14">
        <v>3.22</v>
      </c>
      <c r="F80" s="14">
        <v>2.1</v>
      </c>
      <c r="G80" s="14">
        <v>1.5</v>
      </c>
      <c r="H80" s="14">
        <v>3.58</v>
      </c>
      <c r="I80" s="14">
        <v>1.85</v>
      </c>
      <c r="J80" s="14">
        <v>1.4</v>
      </c>
      <c r="K80" s="14">
        <v>1.1000000000000001</v>
      </c>
      <c r="L80" s="14">
        <v>1.04</v>
      </c>
      <c r="M80" s="14">
        <v>0.86</v>
      </c>
      <c r="N80" s="14">
        <v>5.5</v>
      </c>
      <c r="O80" s="14">
        <v>2.25</v>
      </c>
      <c r="P80" s="66"/>
    </row>
    <row r="81" spans="1:16" x14ac:dyDescent="0.25">
      <c r="A81" s="237"/>
      <c r="B81" s="19">
        <v>910</v>
      </c>
      <c r="C81" s="14">
        <v>0.08</v>
      </c>
      <c r="D81" s="14">
        <v>1.06</v>
      </c>
      <c r="E81" s="14">
        <v>3.51</v>
      </c>
      <c r="F81" s="14">
        <v>2.2599999999999998</v>
      </c>
      <c r="G81" s="14">
        <v>1.5</v>
      </c>
      <c r="H81" s="14">
        <v>3.71</v>
      </c>
      <c r="I81" s="14">
        <v>2.0099999999999998</v>
      </c>
      <c r="J81" s="14">
        <v>1.56</v>
      </c>
      <c r="K81" s="14">
        <v>1.26</v>
      </c>
      <c r="L81" s="14">
        <v>1.1000000000000001</v>
      </c>
      <c r="M81" s="14">
        <v>0.92</v>
      </c>
      <c r="N81" s="14">
        <v>6.59</v>
      </c>
      <c r="O81" s="14">
        <v>2.4900000000000002</v>
      </c>
      <c r="P81" s="66"/>
    </row>
    <row r="82" spans="1:16" x14ac:dyDescent="0.25">
      <c r="A82" s="237"/>
      <c r="B82" s="19">
        <v>1060</v>
      </c>
      <c r="C82" s="14">
        <v>0.09</v>
      </c>
      <c r="D82" s="14">
        <v>1.24</v>
      </c>
      <c r="E82" s="14">
        <v>3.83</v>
      </c>
      <c r="F82" s="14">
        <v>2.44</v>
      </c>
      <c r="G82" s="14">
        <v>1.5</v>
      </c>
      <c r="H82" s="14">
        <v>3.85</v>
      </c>
      <c r="I82" s="14">
        <v>2.19</v>
      </c>
      <c r="J82" s="14">
        <v>1.74</v>
      </c>
      <c r="K82" s="14">
        <v>1.44</v>
      </c>
      <c r="L82" s="14">
        <v>1.18</v>
      </c>
      <c r="M82" s="14">
        <v>1</v>
      </c>
      <c r="N82" s="14">
        <v>7.96</v>
      </c>
      <c r="O82" s="14">
        <v>2.76</v>
      </c>
      <c r="P82" s="66"/>
    </row>
    <row r="83" spans="1:16" ht="15.75" thickBot="1" x14ac:dyDescent="0.3">
      <c r="A83" s="238"/>
      <c r="B83" s="20">
        <v>1220</v>
      </c>
      <c r="C83" s="15">
        <v>0.1</v>
      </c>
      <c r="D83" s="15">
        <v>1.42</v>
      </c>
      <c r="E83" s="15">
        <v>4.16</v>
      </c>
      <c r="F83" s="15">
        <v>2.62</v>
      </c>
      <c r="G83" s="15">
        <v>1.5</v>
      </c>
      <c r="H83" s="15">
        <v>4</v>
      </c>
      <c r="I83" s="15">
        <v>2.37</v>
      </c>
      <c r="J83" s="15">
        <v>1.92</v>
      </c>
      <c r="K83" s="15">
        <v>1.62</v>
      </c>
      <c r="L83" s="15">
        <v>1.25</v>
      </c>
      <c r="M83" s="15">
        <v>1.07</v>
      </c>
      <c r="N83" s="15">
        <v>9.4700000000000006</v>
      </c>
      <c r="O83" s="15">
        <v>3.03</v>
      </c>
      <c r="P83" s="66"/>
    </row>
    <row r="84" spans="1:16" ht="15.75" thickTop="1" x14ac:dyDescent="0.25">
      <c r="A84" s="236" t="s">
        <v>16</v>
      </c>
      <c r="B84" s="10">
        <v>600</v>
      </c>
      <c r="C84" s="13">
        <v>0.06</v>
      </c>
      <c r="D84" s="13">
        <v>0.72</v>
      </c>
      <c r="E84" s="13">
        <v>4.0999999999999996</v>
      </c>
      <c r="F84" s="13">
        <v>3.12</v>
      </c>
      <c r="G84" s="13">
        <v>1.5</v>
      </c>
      <c r="H84" s="13">
        <v>3.44</v>
      </c>
      <c r="I84" s="13">
        <v>1.67</v>
      </c>
      <c r="J84" s="13">
        <v>1.22</v>
      </c>
      <c r="K84" s="13">
        <v>0.92</v>
      </c>
      <c r="L84" s="13">
        <v>0.97</v>
      </c>
      <c r="M84" s="13">
        <v>0.79</v>
      </c>
      <c r="N84" s="13">
        <v>6.45</v>
      </c>
      <c r="O84" s="13">
        <v>3.78</v>
      </c>
      <c r="P84" s="66"/>
    </row>
    <row r="85" spans="1:16" x14ac:dyDescent="0.25">
      <c r="A85" s="237"/>
      <c r="B85" s="9">
        <v>760</v>
      </c>
      <c r="C85" s="14">
        <v>7.0000000000000007E-2</v>
      </c>
      <c r="D85" s="14">
        <v>0.9</v>
      </c>
      <c r="E85" s="14">
        <v>4.72</v>
      </c>
      <c r="F85" s="14">
        <v>3.6</v>
      </c>
      <c r="G85" s="14">
        <v>1.5</v>
      </c>
      <c r="H85" s="14">
        <v>3.58</v>
      </c>
      <c r="I85" s="14">
        <v>1.85</v>
      </c>
      <c r="J85" s="14">
        <v>1.4</v>
      </c>
      <c r="K85" s="14">
        <v>1.1000000000000001</v>
      </c>
      <c r="L85" s="14">
        <v>1.04</v>
      </c>
      <c r="M85" s="14">
        <v>0.86</v>
      </c>
      <c r="N85" s="14">
        <v>8.5</v>
      </c>
      <c r="O85" s="14">
        <v>4.5</v>
      </c>
      <c r="P85" s="66"/>
    </row>
    <row r="86" spans="1:16" x14ac:dyDescent="0.25">
      <c r="A86" s="237"/>
      <c r="B86" s="19">
        <v>910</v>
      </c>
      <c r="C86" s="14">
        <v>0.08</v>
      </c>
      <c r="D86" s="14">
        <v>1.06</v>
      </c>
      <c r="E86" s="14">
        <v>5.27</v>
      </c>
      <c r="F86" s="14">
        <v>4.03</v>
      </c>
      <c r="G86" s="14">
        <v>1.5</v>
      </c>
      <c r="H86" s="14">
        <v>3.71</v>
      </c>
      <c r="I86" s="14">
        <v>2.0099999999999998</v>
      </c>
      <c r="J86" s="14">
        <v>1.56</v>
      </c>
      <c r="K86" s="14">
        <v>1.26</v>
      </c>
      <c r="L86" s="14">
        <v>1.1000000000000001</v>
      </c>
      <c r="M86" s="14">
        <v>0.92</v>
      </c>
      <c r="N86" s="14">
        <v>10.61</v>
      </c>
      <c r="O86" s="14">
        <v>5.14</v>
      </c>
      <c r="P86" s="66"/>
    </row>
    <row r="87" spans="1:16" x14ac:dyDescent="0.25">
      <c r="A87" s="237"/>
      <c r="B87" s="19">
        <v>1060</v>
      </c>
      <c r="C87" s="14">
        <v>0.09</v>
      </c>
      <c r="D87" s="14">
        <v>1.24</v>
      </c>
      <c r="E87" s="14">
        <v>5.9</v>
      </c>
      <c r="F87" s="14">
        <v>4.51</v>
      </c>
      <c r="G87" s="14">
        <v>1.5</v>
      </c>
      <c r="H87" s="14">
        <v>3.85</v>
      </c>
      <c r="I87" s="14" t="s">
        <v>67</v>
      </c>
      <c r="J87" s="14">
        <v>1.74</v>
      </c>
      <c r="K87" s="14">
        <v>1.44</v>
      </c>
      <c r="L87" s="14">
        <v>1.18</v>
      </c>
      <c r="M87" s="14">
        <v>1</v>
      </c>
      <c r="N87" s="14">
        <v>13.34</v>
      </c>
      <c r="O87" s="14">
        <v>5.86</v>
      </c>
      <c r="P87" s="66"/>
    </row>
    <row r="88" spans="1:16" ht="15.75" thickBot="1" x14ac:dyDescent="0.3">
      <c r="A88" s="238"/>
      <c r="B88" s="20">
        <v>1220</v>
      </c>
      <c r="C88" s="15">
        <v>0.1</v>
      </c>
      <c r="D88" s="15">
        <v>1.42</v>
      </c>
      <c r="E88" s="15">
        <v>6.52</v>
      </c>
      <c r="F88" s="15">
        <v>4.99</v>
      </c>
      <c r="G88" s="15">
        <v>1.5</v>
      </c>
      <c r="H88" s="15">
        <v>4</v>
      </c>
      <c r="I88" s="15">
        <v>2.37</v>
      </c>
      <c r="J88" s="15">
        <v>1.92</v>
      </c>
      <c r="K88" s="15">
        <v>1.62</v>
      </c>
      <c r="L88" s="15">
        <v>1.25</v>
      </c>
      <c r="M88" s="15">
        <v>1.07</v>
      </c>
      <c r="N88" s="15">
        <v>16.46</v>
      </c>
      <c r="O88" s="15">
        <v>6.58</v>
      </c>
      <c r="P88" s="66"/>
    </row>
    <row r="89" spans="1:16" ht="15.75" thickTop="1" x14ac:dyDescent="0.25">
      <c r="A89" s="236" t="s">
        <v>17</v>
      </c>
      <c r="B89" s="10">
        <v>600</v>
      </c>
      <c r="C89" s="13">
        <v>0.06</v>
      </c>
      <c r="D89" s="13">
        <v>0.72</v>
      </c>
      <c r="E89" s="13">
        <v>5.3</v>
      </c>
      <c r="F89" s="13">
        <v>4.32</v>
      </c>
      <c r="G89" s="13">
        <v>1.5</v>
      </c>
      <c r="H89" s="13">
        <v>3.44</v>
      </c>
      <c r="I89" s="13">
        <v>1.67</v>
      </c>
      <c r="J89" s="13">
        <v>1.22</v>
      </c>
      <c r="K89" s="13">
        <v>0.92</v>
      </c>
      <c r="L89" s="13">
        <v>0.97</v>
      </c>
      <c r="M89" s="13">
        <v>0.79</v>
      </c>
      <c r="N89" s="13">
        <v>8.49</v>
      </c>
      <c r="O89" s="13">
        <v>5.58</v>
      </c>
      <c r="P89" s="66"/>
    </row>
    <row r="90" spans="1:16" x14ac:dyDescent="0.25">
      <c r="A90" s="237"/>
      <c r="B90" s="9">
        <v>760</v>
      </c>
      <c r="C90" s="14">
        <v>7.0000000000000007E-2</v>
      </c>
      <c r="D90" s="14">
        <v>0.9</v>
      </c>
      <c r="E90" s="14">
        <v>6.22</v>
      </c>
      <c r="F90" s="14">
        <v>5.0999999999999996</v>
      </c>
      <c r="G90" s="14">
        <v>1.5</v>
      </c>
      <c r="H90" s="14">
        <v>3.58</v>
      </c>
      <c r="I90" s="14">
        <v>1.85</v>
      </c>
      <c r="J90" s="14">
        <v>1.4</v>
      </c>
      <c r="K90" s="14">
        <v>1.1000000000000001</v>
      </c>
      <c r="L90" s="14">
        <v>1.04</v>
      </c>
      <c r="M90" s="14">
        <v>0.86</v>
      </c>
      <c r="N90" s="14">
        <v>11.49</v>
      </c>
      <c r="O90" s="14">
        <v>6.75</v>
      </c>
      <c r="P90" s="66"/>
    </row>
    <row r="91" spans="1:16" x14ac:dyDescent="0.25">
      <c r="A91" s="237"/>
      <c r="B91" s="19">
        <v>910</v>
      </c>
      <c r="C91" s="14">
        <v>0.08</v>
      </c>
      <c r="D91" s="14">
        <v>1.06</v>
      </c>
      <c r="E91" s="14">
        <v>7.04</v>
      </c>
      <c r="F91" s="14">
        <v>5.79</v>
      </c>
      <c r="G91" s="14">
        <v>1.5</v>
      </c>
      <c r="H91" s="14">
        <v>3.71</v>
      </c>
      <c r="I91" s="14">
        <v>2.0099999999999998</v>
      </c>
      <c r="J91" s="14">
        <v>1.56</v>
      </c>
      <c r="K91" s="14">
        <v>1.26</v>
      </c>
      <c r="L91" s="14">
        <v>1.1000000000000001</v>
      </c>
      <c r="M91" s="14">
        <v>0.92</v>
      </c>
      <c r="N91" s="14">
        <v>14.63</v>
      </c>
      <c r="O91" s="14">
        <v>7.79</v>
      </c>
      <c r="P91" s="66"/>
    </row>
    <row r="92" spans="1:16" x14ac:dyDescent="0.25">
      <c r="A92" s="237"/>
      <c r="B92" s="19">
        <v>1060</v>
      </c>
      <c r="C92" s="14">
        <v>0.09</v>
      </c>
      <c r="D92" s="14">
        <v>1.24</v>
      </c>
      <c r="E92" s="14">
        <v>7.97</v>
      </c>
      <c r="F92" s="14">
        <v>6.57</v>
      </c>
      <c r="G92" s="14">
        <v>1.5</v>
      </c>
      <c r="H92" s="14">
        <v>3.85</v>
      </c>
      <c r="I92" s="14">
        <v>2.19</v>
      </c>
      <c r="J92" s="14">
        <v>1.74</v>
      </c>
      <c r="K92" s="14">
        <v>1.44</v>
      </c>
      <c r="L92" s="14">
        <v>1</v>
      </c>
      <c r="M92" s="14">
        <v>1</v>
      </c>
      <c r="N92" s="14">
        <v>18.72</v>
      </c>
      <c r="O92" s="14">
        <v>8.9600000000000009</v>
      </c>
      <c r="P92" s="66"/>
    </row>
    <row r="93" spans="1:16" ht="15.75" thickBot="1" x14ac:dyDescent="0.3">
      <c r="A93" s="239"/>
      <c r="B93" s="20">
        <v>1220</v>
      </c>
      <c r="C93" s="15">
        <v>0.1</v>
      </c>
      <c r="D93" s="15">
        <v>1.42</v>
      </c>
      <c r="E93" s="15">
        <v>8.89</v>
      </c>
      <c r="F93" s="15">
        <v>7.35</v>
      </c>
      <c r="G93" s="15">
        <v>1.5</v>
      </c>
      <c r="H93" s="15">
        <v>4</v>
      </c>
      <c r="I93" s="15">
        <v>2.37</v>
      </c>
      <c r="J93" s="15">
        <v>1.92</v>
      </c>
      <c r="K93" s="15">
        <v>1.62</v>
      </c>
      <c r="L93" s="15">
        <v>1.07</v>
      </c>
      <c r="M93" s="15">
        <v>1.07</v>
      </c>
      <c r="N93" s="15">
        <v>23.45</v>
      </c>
      <c r="O93" s="15">
        <v>10.130000000000001</v>
      </c>
      <c r="P93" s="66"/>
    </row>
    <row r="94" spans="1:16" ht="15.75" thickTop="1" x14ac:dyDescent="0.25">
      <c r="A94" s="12"/>
      <c r="P94" s="66"/>
    </row>
    <row r="95" spans="1:16" x14ac:dyDescent="0.25">
      <c r="P95" s="66"/>
    </row>
    <row r="96" spans="1:16" x14ac:dyDescent="0.25">
      <c r="P96" s="66"/>
    </row>
  </sheetData>
  <customSheetViews>
    <customSheetView guid="{A4DA0C6D-D584-455D-A4B7-603EE27383F6}">
      <selection activeCell="E6" sqref="E6"/>
      <pageMargins left="0.7" right="0.7" top="0.75" bottom="0.75" header="0.3" footer="0.3"/>
    </customSheetView>
  </customSheetViews>
  <mergeCells count="75">
    <mergeCell ref="O55:O57"/>
    <mergeCell ref="A55:M55"/>
    <mergeCell ref="G77:G78"/>
    <mergeCell ref="H77:H78"/>
    <mergeCell ref="I77:I78"/>
    <mergeCell ref="L77:L78"/>
    <mergeCell ref="N75:O75"/>
    <mergeCell ref="N76:N78"/>
    <mergeCell ref="O76:O78"/>
    <mergeCell ref="A76:M76"/>
    <mergeCell ref="A68:A72"/>
    <mergeCell ref="E56:E57"/>
    <mergeCell ref="F56:F57"/>
    <mergeCell ref="I56:I57"/>
    <mergeCell ref="K56:K57"/>
    <mergeCell ref="M56:M57"/>
    <mergeCell ref="N34:N36"/>
    <mergeCell ref="K35:K36"/>
    <mergeCell ref="A34:L34"/>
    <mergeCell ref="G56:G57"/>
    <mergeCell ref="H56:H57"/>
    <mergeCell ref="J56:J57"/>
    <mergeCell ref="L56:L57"/>
    <mergeCell ref="N54:O54"/>
    <mergeCell ref="N55:N57"/>
    <mergeCell ref="G35:G36"/>
    <mergeCell ref="H35:H36"/>
    <mergeCell ref="M34:M36"/>
    <mergeCell ref="A56:A57"/>
    <mergeCell ref="B56:B57"/>
    <mergeCell ref="C56:C57"/>
    <mergeCell ref="D56:D57"/>
    <mergeCell ref="A79:A83"/>
    <mergeCell ref="A84:A88"/>
    <mergeCell ref="A89:A93"/>
    <mergeCell ref="M33:N33"/>
    <mergeCell ref="J12:K12"/>
    <mergeCell ref="A77:A78"/>
    <mergeCell ref="B77:B78"/>
    <mergeCell ref="C77:C78"/>
    <mergeCell ref="D77:D78"/>
    <mergeCell ref="E77:E78"/>
    <mergeCell ref="F77:F78"/>
    <mergeCell ref="J77:J78"/>
    <mergeCell ref="K77:K78"/>
    <mergeCell ref="M77:M78"/>
    <mergeCell ref="A58:A62"/>
    <mergeCell ref="A63:A67"/>
    <mergeCell ref="I35:I36"/>
    <mergeCell ref="A37:A41"/>
    <mergeCell ref="A42:A46"/>
    <mergeCell ref="A47:A51"/>
    <mergeCell ref="A35:A36"/>
    <mergeCell ref="B35:B36"/>
    <mergeCell ref="H14:H15"/>
    <mergeCell ref="C35:C36"/>
    <mergeCell ref="D35:D36"/>
    <mergeCell ref="E35:E36"/>
    <mergeCell ref="F35:F36"/>
    <mergeCell ref="I14:I15"/>
    <mergeCell ref="J35:J36"/>
    <mergeCell ref="L35:L36"/>
    <mergeCell ref="A14:A15"/>
    <mergeCell ref="A21:A25"/>
    <mergeCell ref="A26:A30"/>
    <mergeCell ref="F14:F15"/>
    <mergeCell ref="J13:J15"/>
    <mergeCell ref="K13:K15"/>
    <mergeCell ref="A16:A20"/>
    <mergeCell ref="A13:I13"/>
    <mergeCell ref="B14:B15"/>
    <mergeCell ref="C14:C15"/>
    <mergeCell ref="D14:D15"/>
    <mergeCell ref="E14:E15"/>
    <mergeCell ref="G14:G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o_to_PP">
                <anchor moveWithCells="1" sizeWithCells="1">
                  <from>
                    <xdr:col>0</xdr:col>
                    <xdr:colOff>104775</xdr:colOff>
                    <xdr:row>0</xdr:row>
                    <xdr:rowOff>114300</xdr:rowOff>
                  </from>
                  <to>
                    <xdr:col>1</xdr:col>
                    <xdr:colOff>285750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59999389629810485"/>
  </sheetPr>
  <dimension ref="A1:K22"/>
  <sheetViews>
    <sheetView zoomScale="85" zoomScaleNormal="85" workbookViewId="0">
      <selection activeCell="I7" sqref="I7"/>
    </sheetView>
  </sheetViews>
  <sheetFormatPr defaultRowHeight="15" x14ac:dyDescent="0.25"/>
  <cols>
    <col min="1" max="1" width="9.42578125" style="165" customWidth="1"/>
    <col min="2" max="2" width="12" style="165" customWidth="1"/>
    <col min="3" max="3" width="10.5703125" style="165" bestFit="1" customWidth="1"/>
    <col min="4" max="4" width="10.7109375" style="165" customWidth="1"/>
    <col min="5" max="6" width="9.140625" style="165"/>
    <col min="7" max="7" width="11.7109375" style="165" bestFit="1" customWidth="1"/>
    <col min="8" max="9" width="9.140625" style="165"/>
    <col min="10" max="10" width="9" style="165" customWidth="1"/>
    <col min="11" max="16384" width="9.140625" style="165"/>
  </cols>
  <sheetData>
    <row r="1" spans="1:11" x14ac:dyDescent="0.25">
      <c r="A1" s="163"/>
      <c r="B1" s="93"/>
      <c r="C1" s="93"/>
      <c r="D1" s="93"/>
      <c r="E1" s="93"/>
      <c r="F1" s="93"/>
      <c r="G1" s="93"/>
      <c r="H1" s="93"/>
      <c r="I1" s="93"/>
      <c r="J1" s="93"/>
      <c r="K1" s="164"/>
    </row>
    <row r="2" spans="1:11" x14ac:dyDescent="0.25">
      <c r="A2" s="166"/>
      <c r="B2" s="2"/>
      <c r="C2" s="2"/>
      <c r="D2" s="2"/>
      <c r="E2" s="2"/>
      <c r="F2" s="2"/>
      <c r="G2" s="2"/>
      <c r="H2" s="2"/>
      <c r="I2" s="2"/>
      <c r="J2" s="2"/>
      <c r="K2" s="3"/>
    </row>
    <row r="3" spans="1:11" x14ac:dyDescent="0.25">
      <c r="A3" s="167"/>
      <c r="B3" s="2"/>
      <c r="C3" s="2"/>
      <c r="D3" s="2"/>
      <c r="E3" s="2"/>
      <c r="F3" s="2"/>
      <c r="G3" s="2"/>
      <c r="H3" s="2"/>
      <c r="I3" s="2"/>
      <c r="J3" s="2"/>
      <c r="K3" s="3"/>
    </row>
    <row r="4" spans="1:11" x14ac:dyDescent="0.25">
      <c r="A4" s="167"/>
      <c r="B4" s="2"/>
      <c r="C4" s="2"/>
      <c r="D4" s="2"/>
      <c r="E4" s="2"/>
      <c r="F4" s="2"/>
      <c r="G4" s="2"/>
      <c r="H4" s="2"/>
      <c r="I4" s="2"/>
      <c r="J4" s="2"/>
      <c r="K4" s="3"/>
    </row>
    <row r="5" spans="1:1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3"/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3"/>
    </row>
    <row r="7" spans="1:1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3"/>
    </row>
    <row r="8" spans="1:1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3"/>
    </row>
    <row r="9" spans="1:11" ht="23.25" x14ac:dyDescent="0.35">
      <c r="A9" s="2"/>
      <c r="B9" s="2"/>
      <c r="C9" s="2"/>
      <c r="D9" s="174" t="s">
        <v>181</v>
      </c>
      <c r="E9" s="2"/>
      <c r="F9" s="2"/>
      <c r="G9" s="2"/>
      <c r="H9" s="2"/>
      <c r="I9" s="2"/>
      <c r="J9" s="2"/>
      <c r="K9" s="3"/>
    </row>
    <row r="10" spans="1:1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3"/>
    </row>
    <row r="11" spans="1:1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3"/>
    </row>
    <row r="12" spans="1:11" ht="23.25" x14ac:dyDescent="0.35">
      <c r="A12" s="2"/>
      <c r="B12" s="2"/>
      <c r="C12" s="2"/>
      <c r="D12" s="174" t="s">
        <v>181</v>
      </c>
      <c r="E12" s="2"/>
      <c r="F12" s="2"/>
      <c r="G12" s="2"/>
      <c r="H12" s="2"/>
      <c r="I12" s="2"/>
      <c r="J12" s="2"/>
      <c r="K12" s="3"/>
    </row>
    <row r="13" spans="1:1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3"/>
    </row>
    <row r="15" spans="1:1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3"/>
    </row>
    <row r="16" spans="1:11" x14ac:dyDescent="0.25">
      <c r="A16" s="2"/>
      <c r="B16" s="2" t="s">
        <v>179</v>
      </c>
      <c r="C16" s="2"/>
      <c r="D16" s="2"/>
      <c r="E16" s="2"/>
      <c r="F16" s="2"/>
      <c r="G16" s="2"/>
      <c r="H16" s="2"/>
      <c r="I16" s="2"/>
      <c r="J16" s="2"/>
      <c r="K16" s="3"/>
    </row>
    <row r="17" spans="1:1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3"/>
    </row>
    <row r="18" spans="1:1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3"/>
    </row>
    <row r="19" spans="1:1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3"/>
    </row>
    <row r="20" spans="1:1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3"/>
    </row>
    <row r="21" spans="1:1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3"/>
    </row>
    <row r="22" spans="1:11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16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>
                <anchor moveWithCells="1" sizeWithCells="1">
                  <from>
                    <xdr:col>3</xdr:col>
                    <xdr:colOff>171450</xdr:colOff>
                    <xdr:row>2</xdr:row>
                    <xdr:rowOff>38100</xdr:rowOff>
                  </from>
                  <to>
                    <xdr:col>5</xdr:col>
                    <xdr:colOff>323850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go_to_PP">
                <anchor moveWithCells="1" sizeWithCells="1">
                  <from>
                    <xdr:col>0</xdr:col>
                    <xdr:colOff>47625</xdr:colOff>
                    <xdr:row>1</xdr:row>
                    <xdr:rowOff>114300</xdr:rowOff>
                  </from>
                  <to>
                    <xdr:col>1</xdr:col>
                    <xdr:colOff>104775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51"/>
  <sheetViews>
    <sheetView topLeftCell="A5" zoomScale="85" zoomScaleNormal="85" workbookViewId="0">
      <selection activeCell="D19" sqref="D19"/>
    </sheetView>
  </sheetViews>
  <sheetFormatPr defaultRowHeight="15" x14ac:dyDescent="0.25"/>
  <cols>
    <col min="3" max="3" width="10.28515625" bestFit="1" customWidth="1"/>
  </cols>
  <sheetData>
    <row r="1" spans="1:17" x14ac:dyDescent="0.25"/>
    <row r="2" spans="1:17" x14ac:dyDescent="0.25">
      <c r="B2" s="9" t="s">
        <v>68</v>
      </c>
      <c r="C2" s="9" t="s">
        <v>69</v>
      </c>
      <c r="D2" s="9" t="s">
        <v>70</v>
      </c>
      <c r="E2" s="9" t="s">
        <v>71</v>
      </c>
      <c r="F2" s="9" t="s">
        <v>72</v>
      </c>
      <c r="G2" s="9" t="s">
        <v>73</v>
      </c>
      <c r="H2" s="9" t="s">
        <v>74</v>
      </c>
      <c r="I2" s="9" t="s">
        <v>75</v>
      </c>
      <c r="J2" s="9" t="s">
        <v>76</v>
      </c>
      <c r="K2" s="9" t="s">
        <v>77</v>
      </c>
      <c r="L2" s="9" t="s">
        <v>78</v>
      </c>
      <c r="M2" s="9" t="s">
        <v>79</v>
      </c>
      <c r="N2" s="9" t="s">
        <v>80</v>
      </c>
      <c r="O2" s="9"/>
    </row>
    <row r="3" spans="1:17" x14ac:dyDescent="0.25">
      <c r="B3" s="9">
        <f>main!$J$6</f>
        <v>1</v>
      </c>
      <c r="C3" s="9">
        <f>main!$C$11</f>
        <v>2</v>
      </c>
      <c r="D3" s="9">
        <f>main!$B$4/1000</f>
        <v>1.22</v>
      </c>
      <c r="E3" s="67">
        <f>IF(CONCATENATE($B$3,"-",$C$3)=$E$7,INDEX(C$8:C$11,MATCH($D$3,$B$16:$B$19,0)),IF(CONCATENATE($B$3,"-",$C$3)=$E$15,INDEX(C$16:C$19,MATCH($D$3,$B$23:$B$26,0)),IF(CONCATENATE($B$3,"-",$C$3)=$E$22,INDEX(C$23:C$26,MATCH($D$3,$B$30:$B$33,0)),IF(CONCATENATE($B$3,"-",$C$3)=$E$29,INDEX(C$30:C$33,MATCH($D$3,$B$30:$B$33,0)),IF(CONCATENATE($B$3,"-",$C$3)=$E$38,INDEX(C$39:C$42,MATCH($D$3,$B$30:$B$33,0)),IF(CONCATENATE($B$3,"-",$C$3)=$E$47,INDEX(C$48:C$51,MATCH($D$3,$B$30:$B$33,0))))))))</f>
        <v>1.42</v>
      </c>
      <c r="F3" s="67">
        <f t="shared" ref="F3:N3" si="0">IF(CONCATENATE($B$3,"-",$C$3)=$E$7,INDEX(D$8:D$11,MATCH($D$3,$B$16:$B$19,0)),IF(CONCATENATE($B$3,"-",$C$3)=$E$15,INDEX(D$16:D$19,MATCH($D$3,$B$23:$B$26,0)),IF(CONCATENATE($B$3,"-",$C$3)=$E$22,INDEX(D$23:D$26,MATCH($D$3,$B$30:$B$33,0)),IF(CONCATENATE($B$3,"-",$C$3)=$E$29,INDEX(D$30:D$33,MATCH($D$3,$B$30:$B$33,0)),IF(CONCATENATE($B$3,"-",$C$3)=$E$38,INDEX(D$39:D$42,MATCH($D$3,$B$30:$B$33,0)),IF(CONCATENATE($B$3,"-",$C$3)=$E$47,INDEX(D$48:D$51,MATCH($D$3,$B$30:$B$33,0))))))))</f>
        <v>2.69</v>
      </c>
      <c r="G3" s="67">
        <f t="shared" si="0"/>
        <v>2.37</v>
      </c>
      <c r="H3" s="67">
        <f t="shared" si="0"/>
        <v>2.11</v>
      </c>
      <c r="I3" s="67">
        <f t="shared" si="0"/>
        <v>1.2</v>
      </c>
      <c r="J3" s="67">
        <f t="shared" si="0"/>
        <v>1</v>
      </c>
      <c r="K3" s="67">
        <f t="shared" si="0"/>
        <v>3.11</v>
      </c>
      <c r="L3" s="67">
        <f t="shared" si="0"/>
        <v>4.53</v>
      </c>
      <c r="M3" s="67">
        <f t="shared" si="0"/>
        <v>10.72</v>
      </c>
      <c r="N3" s="67">
        <f t="shared" si="0"/>
        <v>8</v>
      </c>
      <c r="O3" s="9"/>
    </row>
    <row r="6" spans="1:17" x14ac:dyDescent="0.25">
      <c r="B6" s="68" t="s">
        <v>81</v>
      </c>
      <c r="C6" s="68"/>
      <c r="D6" s="68"/>
      <c r="E6" s="68"/>
      <c r="F6" s="68"/>
      <c r="G6" s="68"/>
      <c r="H6" s="68"/>
      <c r="I6" s="68"/>
      <c r="J6" s="68"/>
      <c r="K6" s="68"/>
      <c r="L6" s="68"/>
    </row>
    <row r="7" spans="1:17" x14ac:dyDescent="0.25">
      <c r="B7" t="s">
        <v>82</v>
      </c>
      <c r="C7">
        <v>1</v>
      </c>
      <c r="D7">
        <v>1.5</v>
      </c>
      <c r="E7" t="str">
        <f>CONCATENATE(C7,"-",D7)</f>
        <v>1-1.5</v>
      </c>
    </row>
    <row r="8" spans="1:17" x14ac:dyDescent="0.25">
      <c r="B8" s="9" t="s">
        <v>70</v>
      </c>
      <c r="C8" s="9" t="s">
        <v>71</v>
      </c>
      <c r="D8" s="9" t="s">
        <v>72</v>
      </c>
      <c r="E8" s="9" t="s">
        <v>73</v>
      </c>
      <c r="F8" s="9" t="s">
        <v>74</v>
      </c>
      <c r="G8" s="9" t="s">
        <v>75</v>
      </c>
      <c r="H8" s="9" t="s">
        <v>76</v>
      </c>
      <c r="I8" s="9" t="s">
        <v>77</v>
      </c>
      <c r="J8" s="9" t="s">
        <v>78</v>
      </c>
      <c r="K8" s="9" t="s">
        <v>79</v>
      </c>
      <c r="L8" s="9" t="s">
        <v>80</v>
      </c>
      <c r="N8" t="str">
        <f>L$8</f>
        <v>PAVED WATER</v>
      </c>
      <c r="O8">
        <f t="shared" ref="O8:Q14" si="1">M$8</f>
        <v>0</v>
      </c>
      <c r="P8" t="str">
        <f t="shared" si="1"/>
        <v>PAVED WATER</v>
      </c>
      <c r="Q8">
        <f t="shared" si="1"/>
        <v>0</v>
      </c>
    </row>
    <row r="9" spans="1:17" x14ac:dyDescent="0.25">
      <c r="B9" s="9">
        <v>0.9</v>
      </c>
      <c r="C9" s="9">
        <v>1.06</v>
      </c>
      <c r="D9" s="9">
        <v>1.52</v>
      </c>
      <c r="E9" s="9">
        <v>2.0099999999999998</v>
      </c>
      <c r="F9" s="9">
        <v>1.75</v>
      </c>
      <c r="G9" s="9">
        <v>1.2</v>
      </c>
      <c r="H9" s="9">
        <v>0.95</v>
      </c>
      <c r="I9" s="9">
        <v>1.75</v>
      </c>
      <c r="J9" s="9">
        <v>2.81</v>
      </c>
      <c r="K9" s="9">
        <v>4.3499999999999996</v>
      </c>
      <c r="L9" s="9">
        <v>2.93</v>
      </c>
      <c r="N9" t="str">
        <f t="shared" ref="N9:N14" si="2">L$8</f>
        <v>PAVED WATER</v>
      </c>
      <c r="O9">
        <f t="shared" si="1"/>
        <v>0</v>
      </c>
      <c r="P9" t="str">
        <f t="shared" si="1"/>
        <v>PAVED WATER</v>
      </c>
      <c r="Q9">
        <f t="shared" si="1"/>
        <v>0</v>
      </c>
    </row>
    <row r="10" spans="1:17" x14ac:dyDescent="0.25">
      <c r="B10" s="9">
        <v>1.06</v>
      </c>
      <c r="C10" s="9">
        <v>1.24</v>
      </c>
      <c r="D10" s="9">
        <v>1.79</v>
      </c>
      <c r="E10" s="9">
        <v>2.19</v>
      </c>
      <c r="F10" s="9">
        <v>1.93</v>
      </c>
      <c r="G10" s="9">
        <v>1.2</v>
      </c>
      <c r="H10" s="9">
        <v>1</v>
      </c>
      <c r="I10" s="9">
        <v>2.06</v>
      </c>
      <c r="J10" s="9">
        <v>3.3</v>
      </c>
      <c r="K10" s="9">
        <v>5.39</v>
      </c>
      <c r="L10" s="9">
        <v>4.05</v>
      </c>
      <c r="N10" t="str">
        <f t="shared" si="2"/>
        <v>PAVED WATER</v>
      </c>
      <c r="O10">
        <f t="shared" si="1"/>
        <v>0</v>
      </c>
      <c r="P10" t="str">
        <f t="shared" si="1"/>
        <v>PAVED WATER</v>
      </c>
      <c r="Q10">
        <f t="shared" si="1"/>
        <v>0</v>
      </c>
    </row>
    <row r="11" spans="1:17" x14ac:dyDescent="0.25">
      <c r="B11" s="9">
        <v>1.22</v>
      </c>
      <c r="C11" s="9">
        <v>1.42</v>
      </c>
      <c r="D11" s="9">
        <v>2.06</v>
      </c>
      <c r="E11" s="9">
        <v>2.37</v>
      </c>
      <c r="F11" s="9">
        <v>2.11</v>
      </c>
      <c r="G11" s="9">
        <v>1.2</v>
      </c>
      <c r="H11" s="9">
        <v>1</v>
      </c>
      <c r="I11" s="9">
        <v>2.37</v>
      </c>
      <c r="J11" s="9">
        <v>3.79</v>
      </c>
      <c r="K11" s="9">
        <v>6.44</v>
      </c>
      <c r="L11" s="9">
        <v>5.36</v>
      </c>
      <c r="N11" t="str">
        <f t="shared" si="2"/>
        <v>PAVED WATER</v>
      </c>
      <c r="O11">
        <f t="shared" si="1"/>
        <v>0</v>
      </c>
      <c r="P11" t="str">
        <f t="shared" si="1"/>
        <v>PAVED WATER</v>
      </c>
      <c r="Q11">
        <f t="shared" si="1"/>
        <v>0</v>
      </c>
    </row>
    <row r="12" spans="1:17" x14ac:dyDescent="0.25">
      <c r="N12" t="str">
        <f t="shared" si="2"/>
        <v>PAVED WATER</v>
      </c>
      <c r="O12">
        <f t="shared" si="1"/>
        <v>0</v>
      </c>
      <c r="P12" t="str">
        <f t="shared" si="1"/>
        <v>PAVED WATER</v>
      </c>
      <c r="Q12">
        <f t="shared" si="1"/>
        <v>0</v>
      </c>
    </row>
    <row r="13" spans="1:17" x14ac:dyDescent="0.25">
      <c r="N13" t="str">
        <f t="shared" si="2"/>
        <v>PAVED WATER</v>
      </c>
      <c r="O13">
        <f t="shared" si="1"/>
        <v>0</v>
      </c>
      <c r="P13" t="str">
        <f t="shared" si="1"/>
        <v>PAVED WATER</v>
      </c>
      <c r="Q13">
        <f t="shared" si="1"/>
        <v>0</v>
      </c>
    </row>
    <row r="14" spans="1:17" x14ac:dyDescent="0.25">
      <c r="B14" t="s">
        <v>83</v>
      </c>
      <c r="N14" t="str">
        <f t="shared" si="2"/>
        <v>PAVED WATER</v>
      </c>
      <c r="O14">
        <f t="shared" si="1"/>
        <v>0</v>
      </c>
      <c r="P14" t="str">
        <f t="shared" si="1"/>
        <v>PAVED WATER</v>
      </c>
      <c r="Q14">
        <f t="shared" si="1"/>
        <v>0</v>
      </c>
    </row>
    <row r="15" spans="1:17" x14ac:dyDescent="0.25">
      <c r="B15" s="9" t="s">
        <v>82</v>
      </c>
      <c r="C15" s="9">
        <v>1</v>
      </c>
      <c r="D15" s="9">
        <v>2</v>
      </c>
      <c r="E15" s="9" t="str">
        <f>CONCATENATE(C15,"-",D15)</f>
        <v>1-2</v>
      </c>
      <c r="F15" s="9"/>
      <c r="G15" s="9"/>
      <c r="H15" s="9"/>
      <c r="I15" s="9"/>
      <c r="J15" s="9"/>
      <c r="K15" s="9"/>
      <c r="L15" s="9"/>
    </row>
    <row r="16" spans="1:17" x14ac:dyDescent="0.25">
      <c r="B16" s="9" t="s">
        <v>70</v>
      </c>
      <c r="C16" s="9" t="s">
        <v>71</v>
      </c>
      <c r="D16" s="9" t="s">
        <v>72</v>
      </c>
      <c r="E16" s="9" t="s">
        <v>73</v>
      </c>
      <c r="F16" s="9" t="s">
        <v>74</v>
      </c>
      <c r="G16" s="9" t="s">
        <v>75</v>
      </c>
      <c r="H16" s="9" t="s">
        <v>76</v>
      </c>
      <c r="I16" s="9" t="s">
        <v>77</v>
      </c>
      <c r="J16" s="9" t="s">
        <v>78</v>
      </c>
      <c r="K16" s="9" t="s">
        <v>79</v>
      </c>
      <c r="L16" s="9" t="s">
        <v>80</v>
      </c>
    </row>
    <row r="17" spans="2:12" x14ac:dyDescent="0.25">
      <c r="B17" s="9">
        <v>0.9</v>
      </c>
      <c r="C17" s="9">
        <v>1.06</v>
      </c>
      <c r="D17" s="9">
        <v>1.97</v>
      </c>
      <c r="E17" s="9">
        <v>2.0099999999999998</v>
      </c>
      <c r="F17" s="9">
        <v>1.75</v>
      </c>
      <c r="G17" s="9">
        <v>1.2</v>
      </c>
      <c r="H17" s="9">
        <v>0.95</v>
      </c>
      <c r="I17" s="9">
        <v>2.27</v>
      </c>
      <c r="J17" s="9">
        <v>3.33</v>
      </c>
      <c r="K17" s="9">
        <v>7.44</v>
      </c>
      <c r="L17" s="9">
        <v>4.33</v>
      </c>
    </row>
    <row r="18" spans="2:12" x14ac:dyDescent="0.25">
      <c r="B18" s="9">
        <v>1.06</v>
      </c>
      <c r="C18" s="9">
        <v>1.24</v>
      </c>
      <c r="D18" s="9">
        <v>2.33</v>
      </c>
      <c r="E18" s="9">
        <v>2.19</v>
      </c>
      <c r="F18" s="9">
        <v>1.93</v>
      </c>
      <c r="G18" s="9">
        <v>1.2</v>
      </c>
      <c r="H18" s="9">
        <v>1</v>
      </c>
      <c r="I18" s="9">
        <v>2.69</v>
      </c>
      <c r="J18" s="9">
        <v>3.93</v>
      </c>
      <c r="K18" s="9">
        <v>9.09</v>
      </c>
      <c r="L18" s="9">
        <v>6.02</v>
      </c>
    </row>
    <row r="19" spans="2:12" x14ac:dyDescent="0.25">
      <c r="B19" s="9">
        <v>1.22</v>
      </c>
      <c r="C19" s="9">
        <v>1.42</v>
      </c>
      <c r="D19" s="9">
        <v>2.69</v>
      </c>
      <c r="E19" s="9">
        <v>2.37</v>
      </c>
      <c r="F19" s="9">
        <v>2.11</v>
      </c>
      <c r="G19" s="9">
        <v>1.2</v>
      </c>
      <c r="H19" s="9">
        <v>1</v>
      </c>
      <c r="I19" s="9">
        <v>3.11</v>
      </c>
      <c r="J19" s="9">
        <v>4.53</v>
      </c>
      <c r="K19" s="9">
        <v>10.72</v>
      </c>
      <c r="L19" s="9">
        <v>8</v>
      </c>
    </row>
    <row r="21" spans="2:12" x14ac:dyDescent="0.25">
      <c r="B21" t="s">
        <v>84</v>
      </c>
    </row>
    <row r="22" spans="2:12" x14ac:dyDescent="0.25">
      <c r="B22" s="9" t="s">
        <v>82</v>
      </c>
      <c r="C22" s="9">
        <v>2</v>
      </c>
      <c r="D22" s="9">
        <v>1.5</v>
      </c>
      <c r="E22" s="9" t="str">
        <f>CONCATENATE(C22,"-",D22)</f>
        <v>2-1.5</v>
      </c>
      <c r="F22" s="9"/>
      <c r="G22" s="9"/>
      <c r="H22" s="9"/>
      <c r="I22" s="9"/>
      <c r="J22" s="9"/>
      <c r="K22" s="9"/>
      <c r="L22" s="9"/>
    </row>
    <row r="23" spans="2:12" x14ac:dyDescent="0.25">
      <c r="B23" s="9" t="s">
        <v>70</v>
      </c>
      <c r="C23" s="9" t="s">
        <v>71</v>
      </c>
      <c r="D23" s="9" t="s">
        <v>72</v>
      </c>
      <c r="E23" s="9" t="s">
        <v>73</v>
      </c>
      <c r="F23" s="9" t="s">
        <v>74</v>
      </c>
      <c r="G23" s="9" t="s">
        <v>75</v>
      </c>
      <c r="H23" s="9" t="s">
        <v>76</v>
      </c>
      <c r="I23" s="9" t="s">
        <v>77</v>
      </c>
      <c r="J23" s="9" t="s">
        <v>78</v>
      </c>
      <c r="K23" s="9" t="s">
        <v>79</v>
      </c>
      <c r="L23" s="9" t="s">
        <v>80</v>
      </c>
    </row>
    <row r="24" spans="2:12" x14ac:dyDescent="0.25">
      <c r="B24" s="9">
        <v>0.9</v>
      </c>
      <c r="C24" s="9">
        <v>1.06</v>
      </c>
      <c r="D24" s="9">
        <v>1.52</v>
      </c>
      <c r="E24" s="9">
        <v>2.0099999999999998</v>
      </c>
      <c r="F24" s="9">
        <v>3.52</v>
      </c>
      <c r="G24" s="9">
        <v>1.2</v>
      </c>
      <c r="H24" s="9">
        <v>0.95</v>
      </c>
      <c r="I24" s="9">
        <v>1.75</v>
      </c>
      <c r="J24" s="9">
        <v>4.58</v>
      </c>
      <c r="K24" s="9">
        <v>6.36</v>
      </c>
      <c r="L24" s="9">
        <v>5.61</v>
      </c>
    </row>
    <row r="25" spans="2:12" x14ac:dyDescent="0.25">
      <c r="B25" s="9">
        <v>1.06</v>
      </c>
      <c r="C25" s="9">
        <v>1.24</v>
      </c>
      <c r="D25" s="9">
        <v>1.79</v>
      </c>
      <c r="E25" s="9">
        <v>2.19</v>
      </c>
      <c r="F25" s="9">
        <v>4</v>
      </c>
      <c r="G25" s="9">
        <v>1.2</v>
      </c>
      <c r="H25" s="9">
        <v>1</v>
      </c>
      <c r="I25" s="9">
        <v>2.06</v>
      </c>
      <c r="J25" s="9">
        <v>5.37</v>
      </c>
      <c r="K25" s="9">
        <v>7.89</v>
      </c>
      <c r="L25" s="9">
        <v>7.74</v>
      </c>
    </row>
    <row r="26" spans="2:12" x14ac:dyDescent="0.25">
      <c r="B26" s="9">
        <v>1.22</v>
      </c>
      <c r="C26" s="9">
        <v>1.42</v>
      </c>
      <c r="D26" s="9">
        <v>2.06</v>
      </c>
      <c r="E26" s="9">
        <v>2.37</v>
      </c>
      <c r="F26" s="9">
        <v>4.4800000000000004</v>
      </c>
      <c r="G26" s="9">
        <v>1.2</v>
      </c>
      <c r="H26" s="9">
        <v>1</v>
      </c>
      <c r="I26" s="9">
        <v>2.37</v>
      </c>
      <c r="J26" s="9">
        <v>6.16</v>
      </c>
      <c r="K26" s="9">
        <v>9.4700000000000006</v>
      </c>
      <c r="L26" s="9">
        <v>10.220000000000001</v>
      </c>
    </row>
    <row r="28" spans="2:12" x14ac:dyDescent="0.25">
      <c r="B28" t="s">
        <v>85</v>
      </c>
    </row>
    <row r="29" spans="2:12" x14ac:dyDescent="0.25">
      <c r="B29" s="9" t="s">
        <v>82</v>
      </c>
      <c r="C29" s="9">
        <v>2</v>
      </c>
      <c r="D29" s="9">
        <v>2</v>
      </c>
      <c r="E29" s="9" t="str">
        <f>CONCATENATE(C29,"-",D29)</f>
        <v>2-2</v>
      </c>
      <c r="F29" s="9"/>
      <c r="G29" s="9"/>
      <c r="H29" s="9"/>
      <c r="I29" s="9"/>
      <c r="J29" s="9"/>
      <c r="K29" s="9"/>
      <c r="L29" s="9"/>
    </row>
    <row r="30" spans="2:12" x14ac:dyDescent="0.25">
      <c r="B30" s="9" t="s">
        <v>70</v>
      </c>
      <c r="C30" s="9" t="s">
        <v>71</v>
      </c>
      <c r="D30" s="9" t="s">
        <v>72</v>
      </c>
      <c r="E30" s="9" t="s">
        <v>73</v>
      </c>
      <c r="F30" s="9" t="s">
        <v>74</v>
      </c>
      <c r="G30" s="9" t="s">
        <v>75</v>
      </c>
      <c r="H30" s="9" t="s">
        <v>76</v>
      </c>
      <c r="I30" s="9" t="s">
        <v>77</v>
      </c>
      <c r="J30" s="9" t="s">
        <v>78</v>
      </c>
      <c r="K30" s="9" t="s">
        <v>79</v>
      </c>
      <c r="L30" s="9" t="s">
        <v>80</v>
      </c>
    </row>
    <row r="31" spans="2:12" x14ac:dyDescent="0.25">
      <c r="B31" s="9">
        <v>0.9</v>
      </c>
      <c r="C31" s="9">
        <v>1.06</v>
      </c>
      <c r="D31" s="9">
        <v>1.97</v>
      </c>
      <c r="E31" s="9">
        <v>2.0099999999999998</v>
      </c>
      <c r="F31" s="9">
        <v>3.52</v>
      </c>
      <c r="G31" s="9">
        <v>1.2</v>
      </c>
      <c r="H31" s="9">
        <v>0.95</v>
      </c>
      <c r="I31" s="9">
        <v>2.27</v>
      </c>
      <c r="J31" s="9">
        <v>5.0999999999999996</v>
      </c>
      <c r="K31" s="9">
        <v>9.66</v>
      </c>
      <c r="L31" s="9">
        <v>7.81</v>
      </c>
    </row>
    <row r="32" spans="2:12" x14ac:dyDescent="0.25">
      <c r="B32" s="9">
        <v>1.06</v>
      </c>
      <c r="C32" s="9">
        <v>1.24</v>
      </c>
      <c r="D32" s="9">
        <v>2.33</v>
      </c>
      <c r="E32" s="9">
        <v>2.19</v>
      </c>
      <c r="F32" s="9">
        <v>4</v>
      </c>
      <c r="G32" s="9">
        <v>1.2</v>
      </c>
      <c r="H32" s="9">
        <v>1</v>
      </c>
      <c r="I32" s="9">
        <v>2.69</v>
      </c>
      <c r="J32" s="9">
        <v>6</v>
      </c>
      <c r="K32" s="9">
        <v>11.44</v>
      </c>
      <c r="L32" s="9">
        <v>10.84</v>
      </c>
    </row>
    <row r="33" spans="2:12" x14ac:dyDescent="0.25">
      <c r="B33" s="9">
        <v>1.22</v>
      </c>
      <c r="C33" s="9">
        <v>1.42</v>
      </c>
      <c r="D33" s="9">
        <v>2.69</v>
      </c>
      <c r="E33" s="9">
        <v>2.37</v>
      </c>
      <c r="F33" s="9">
        <v>4.4800000000000004</v>
      </c>
      <c r="G33" s="9">
        <v>1.2</v>
      </c>
      <c r="H33" s="9">
        <v>1</v>
      </c>
      <c r="I33" s="9">
        <v>3.11</v>
      </c>
      <c r="J33" s="9">
        <v>6.89</v>
      </c>
      <c r="K33" s="9">
        <v>14.03</v>
      </c>
      <c r="L33" s="9">
        <v>14.36</v>
      </c>
    </row>
    <row r="37" spans="2:12" x14ac:dyDescent="0.25">
      <c r="B37" t="s">
        <v>86</v>
      </c>
    </row>
    <row r="38" spans="2:12" x14ac:dyDescent="0.25">
      <c r="B38" s="9" t="s">
        <v>82</v>
      </c>
      <c r="C38" s="9">
        <v>3</v>
      </c>
      <c r="D38" s="9">
        <v>1.5</v>
      </c>
      <c r="E38" s="9" t="str">
        <f>CONCATENATE(C38,"-",D38)</f>
        <v>3-1.5</v>
      </c>
      <c r="F38" s="9"/>
      <c r="G38" s="9"/>
      <c r="H38" s="9"/>
      <c r="I38" s="9"/>
      <c r="J38" s="9"/>
      <c r="K38" s="9"/>
      <c r="L38" s="9"/>
    </row>
    <row r="39" spans="2:12" x14ac:dyDescent="0.25">
      <c r="B39" s="9" t="s">
        <v>70</v>
      </c>
      <c r="C39" s="9" t="s">
        <v>71</v>
      </c>
      <c r="D39" s="9" t="s">
        <v>72</v>
      </c>
      <c r="E39" s="9" t="s">
        <v>73</v>
      </c>
      <c r="F39" s="9" t="s">
        <v>74</v>
      </c>
      <c r="G39" s="9" t="s">
        <v>75</v>
      </c>
      <c r="H39" s="9" t="s">
        <v>76</v>
      </c>
      <c r="I39" s="9" t="s">
        <v>77</v>
      </c>
      <c r="J39" s="9" t="s">
        <v>78</v>
      </c>
      <c r="K39" s="9" t="s">
        <v>79</v>
      </c>
      <c r="L39" s="9" t="s">
        <v>80</v>
      </c>
    </row>
    <row r="40" spans="2:12" x14ac:dyDescent="0.25">
      <c r="B40" s="9">
        <v>0.9</v>
      </c>
      <c r="C40" s="9">
        <v>1.06</v>
      </c>
      <c r="D40" s="9">
        <v>1.52</v>
      </c>
      <c r="E40" s="9">
        <v>2.0099999999999998</v>
      </c>
      <c r="F40" s="9">
        <v>5.29</v>
      </c>
      <c r="G40" s="9">
        <v>1.2</v>
      </c>
      <c r="H40" s="9">
        <v>0.95</v>
      </c>
      <c r="I40" s="9">
        <v>1.75</v>
      </c>
      <c r="J40" s="9">
        <v>6.34</v>
      </c>
      <c r="K40" s="9">
        <v>8.3699999999999992</v>
      </c>
      <c r="L40" s="9">
        <v>8.2799999999999994</v>
      </c>
    </row>
    <row r="41" spans="2:12" x14ac:dyDescent="0.25">
      <c r="B41" s="9">
        <v>1.06</v>
      </c>
      <c r="C41" s="9">
        <v>1.24</v>
      </c>
      <c r="D41" s="9">
        <v>1.79</v>
      </c>
      <c r="E41" s="9">
        <v>2.19</v>
      </c>
      <c r="F41" s="9">
        <v>6.07</v>
      </c>
      <c r="G41" s="9">
        <v>1.2</v>
      </c>
      <c r="H41" s="9">
        <v>1</v>
      </c>
      <c r="I41" s="9">
        <v>2.06</v>
      </c>
      <c r="J41" s="9">
        <v>7.43</v>
      </c>
      <c r="K41" s="9">
        <v>10.39</v>
      </c>
      <c r="L41" s="9">
        <v>11.43</v>
      </c>
    </row>
    <row r="42" spans="2:12" x14ac:dyDescent="0.25">
      <c r="B42" s="9">
        <v>1.22</v>
      </c>
      <c r="C42" s="9">
        <v>1.42</v>
      </c>
      <c r="D42" s="9">
        <v>2.06</v>
      </c>
      <c r="E42" s="9">
        <v>2.37</v>
      </c>
      <c r="F42" s="9">
        <v>6.85</v>
      </c>
      <c r="G42" s="9">
        <v>1.2</v>
      </c>
      <c r="H42" s="9">
        <v>1</v>
      </c>
      <c r="I42" s="9">
        <v>2.37</v>
      </c>
      <c r="J42" s="9">
        <v>8.5299999999999994</v>
      </c>
      <c r="K42" s="9">
        <v>12.51</v>
      </c>
      <c r="L42" s="9">
        <v>15.08</v>
      </c>
    </row>
    <row r="46" spans="2:12" x14ac:dyDescent="0.25">
      <c r="B46" t="s">
        <v>87</v>
      </c>
    </row>
    <row r="47" spans="2:12" x14ac:dyDescent="0.25">
      <c r="B47" s="9" t="s">
        <v>82</v>
      </c>
      <c r="C47" s="9">
        <v>3</v>
      </c>
      <c r="D47" s="9">
        <v>2</v>
      </c>
      <c r="E47" s="9" t="str">
        <f>CONCATENATE(C47,"-",D47)</f>
        <v>3-2</v>
      </c>
      <c r="F47" s="9"/>
      <c r="G47" s="9"/>
      <c r="H47" s="9"/>
      <c r="I47" s="9"/>
      <c r="J47" s="9"/>
      <c r="K47" s="9"/>
      <c r="L47" s="9"/>
    </row>
    <row r="48" spans="2:12" x14ac:dyDescent="0.25">
      <c r="B48" s="9" t="s">
        <v>70</v>
      </c>
      <c r="C48" s="9" t="s">
        <v>71</v>
      </c>
      <c r="D48" s="9" t="s">
        <v>72</v>
      </c>
      <c r="E48" s="9" t="s">
        <v>73</v>
      </c>
      <c r="F48" s="9" t="s">
        <v>74</v>
      </c>
      <c r="G48" s="9" t="s">
        <v>75</v>
      </c>
      <c r="H48" s="9" t="s">
        <v>76</v>
      </c>
      <c r="I48" s="9" t="s">
        <v>77</v>
      </c>
      <c r="J48" s="9" t="s">
        <v>78</v>
      </c>
      <c r="K48" s="9" t="s">
        <v>79</v>
      </c>
      <c r="L48" s="9" t="s">
        <v>80</v>
      </c>
    </row>
    <row r="49" spans="2:12" x14ac:dyDescent="0.25">
      <c r="B49" s="9">
        <v>0.9</v>
      </c>
      <c r="C49" s="9">
        <v>1.06</v>
      </c>
      <c r="D49" s="9">
        <v>1.97</v>
      </c>
      <c r="E49" s="9">
        <v>2.0099999999999998</v>
      </c>
      <c r="F49" s="9">
        <v>5.29</v>
      </c>
      <c r="G49" s="9">
        <v>1.2</v>
      </c>
      <c r="H49" s="9">
        <v>0.95</v>
      </c>
      <c r="I49" s="9">
        <v>2.27</v>
      </c>
      <c r="J49" s="9">
        <v>6.87</v>
      </c>
      <c r="K49" s="9">
        <v>11.88</v>
      </c>
      <c r="L49" s="9">
        <v>11.29</v>
      </c>
    </row>
    <row r="50" spans="2:12" x14ac:dyDescent="0.25">
      <c r="B50" s="9">
        <v>1.06</v>
      </c>
      <c r="C50" s="9">
        <v>1.24</v>
      </c>
      <c r="D50" s="9">
        <v>2.33</v>
      </c>
      <c r="E50" s="9">
        <v>2.19</v>
      </c>
      <c r="F50" s="9">
        <v>6.07</v>
      </c>
      <c r="G50" s="9">
        <v>1.2</v>
      </c>
      <c r="H50" s="9">
        <v>1</v>
      </c>
      <c r="I50" s="9">
        <v>2.69</v>
      </c>
      <c r="J50" s="9">
        <v>8.06</v>
      </c>
      <c r="K50" s="9">
        <v>14.56</v>
      </c>
      <c r="L50" s="9">
        <v>15.66</v>
      </c>
    </row>
    <row r="51" spans="2:12" x14ac:dyDescent="0.25">
      <c r="B51" s="9">
        <v>1.22</v>
      </c>
      <c r="C51" s="9">
        <v>1.42</v>
      </c>
      <c r="D51" s="9">
        <v>2.69</v>
      </c>
      <c r="E51" s="9">
        <v>2.37</v>
      </c>
      <c r="F51" s="9">
        <v>6.85</v>
      </c>
      <c r="G51" s="9">
        <v>1.2</v>
      </c>
      <c r="H51" s="9">
        <v>1</v>
      </c>
      <c r="I51" s="9">
        <v>3.11</v>
      </c>
      <c r="J51" s="9">
        <v>9.26</v>
      </c>
      <c r="K51" s="9">
        <v>16.34</v>
      </c>
      <c r="L51" s="9">
        <v>20.73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go_to_PP">
                <anchor moveWithCells="1" sizeWithCells="1">
                  <from>
                    <xdr:col>0</xdr:col>
                    <xdr:colOff>47625</xdr:colOff>
                    <xdr:row>3</xdr:row>
                    <xdr:rowOff>47625</xdr:rowOff>
                  </from>
                  <to>
                    <xdr:col>1</xdr:col>
                    <xdr:colOff>228600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14" sqref="D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main</vt:lpstr>
      <vt:lpstr>SLB_CU</vt:lpstr>
      <vt:lpstr>BOX_CU</vt:lpstr>
      <vt:lpstr>PipeEnd_data</vt:lpstr>
      <vt:lpstr>Chk_dm</vt:lpstr>
      <vt:lpstr>ERA2013</vt:lpstr>
      <vt:lpstr>Sheet1</vt:lpstr>
      <vt:lpstr>a_double</vt:lpstr>
      <vt:lpstr>a_single</vt:lpstr>
      <vt:lpstr>a_title</vt:lpstr>
      <vt:lpstr>a_triple</vt:lpstr>
      <vt:lpstr>ai_double</vt:lpstr>
      <vt:lpstr>ai_single</vt:lpstr>
      <vt:lpstr>ai_title</vt:lpstr>
      <vt:lpstr>ai_triple</vt:lpstr>
      <vt:lpstr>b_double</vt:lpstr>
      <vt:lpstr>b_single</vt:lpstr>
      <vt:lpstr>b_title</vt:lpstr>
      <vt:lpstr>b_triple</vt:lpstr>
      <vt:lpstr>c_double</vt:lpstr>
      <vt:lpstr>c_single</vt:lpstr>
      <vt:lpstr>c_title</vt:lpstr>
      <vt:lpstr>c_triple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2020-09-06T22:56:35Z</cp:lastPrinted>
  <dcterms:created xsi:type="dcterms:W3CDTF">2020-04-07T10:57:46Z</dcterms:created>
  <dcterms:modified xsi:type="dcterms:W3CDTF">2021-04-08T11:40:14Z</dcterms:modified>
  <cp:contentStatus/>
</cp:coreProperties>
</file>